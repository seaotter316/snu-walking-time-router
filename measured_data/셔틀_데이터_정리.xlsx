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원시데이터" sheetId="1" state="visible" r:id="rId3"/>
    <sheet name="정차시간" sheetId="2" state="visible" r:id="rId4"/>
    <sheet name="구간소요시간" sheetId="3" state="visible" r:id="rId5"/>
    <sheet name="원시데이터2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<sst xmlns="http://schemas.openxmlformats.org/spreadsheetml/2006/main" count="712" uniqueCount="278">
  <si>
    <t xml:space="preserve">셔틀 측정 원시 데이터 (측정자 1, 3바퀴 연속)</t>
  </si>
  <si>
    <t xml:space="preserve">※ 신소재(1바퀴) 미정차 / 302동(1바퀴) 구간소요 누락 / 복귀구간 소요 이상치 제외 / 측정자 열 제외</t>
  </si>
  <si>
    <t xml:space="preserve">날짜</t>
  </si>
  <si>
    <t xml:space="preserve">날씨</t>
  </si>
  <si>
    <t xml:space="preserve">바퀴</t>
  </si>
  <si>
    <t xml:space="preserve">순서</t>
  </si>
  <si>
    <t xml:space="preserve">정류장</t>
  </si>
  <si>
    <t xml:space="preserve">도착</t>
  </si>
  <si>
    <t xml:space="preserve">출발</t>
  </si>
  <si>
    <t xml:space="preserve">정차(초)</t>
  </si>
  <si>
    <t xml:space="preserve">구간소요(초)</t>
  </si>
  <si>
    <t xml:space="preserve">메모</t>
  </si>
  <si>
    <t xml:space="preserve">2026-06-08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</si>
  <si>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바퀴</t>
    </r>
  </si>
  <si>
    <t xml:space="preserve">1</t>
  </si>
  <si>
    <t xml:space="preserve">정문</t>
  </si>
  <si>
    <t xml:space="preserve">16:00:16</t>
  </si>
  <si>
    <t xml:space="preserve">16:00:27</t>
  </si>
  <si>
    <t xml:space="preserve">2</t>
  </si>
  <si>
    <t xml:space="preserve">법과대</t>
  </si>
  <si>
    <t xml:space="preserve">16:01:17</t>
  </si>
  <si>
    <t xml:space="preserve">16:01:25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</si>
  <si>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명</t>
    </r>
  </si>
  <si>
    <t xml:space="preserve">3</t>
  </si>
  <si>
    <t xml:space="preserve">자연대</t>
  </si>
  <si>
    <t xml:space="preserve">16:02:11</t>
  </si>
  <si>
    <t xml:space="preserve">16:02:19</t>
  </si>
  <si>
    <t xml:space="preserve">4</t>
  </si>
  <si>
    <t xml:space="preserve">농생대</t>
  </si>
  <si>
    <t xml:space="preserve">16:03:30</t>
  </si>
  <si>
    <t xml:space="preserve">16:03:47</t>
  </si>
  <si>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명</t>
    </r>
  </si>
  <si>
    <t xml:space="preserve">5</t>
  </si>
  <si>
    <r>
      <rPr>
        <sz val="10"/>
        <rFont val="Arial"/>
        <family val="0"/>
        <charset val="1"/>
      </rPr>
      <t xml:space="preserve">38</t>
    </r>
    <r>
      <rPr>
        <sz val="10"/>
        <rFont val="Noto Sans CJK SC"/>
        <family val="2"/>
      </rPr>
      <t xml:space="preserve">동</t>
    </r>
  </si>
  <si>
    <t xml:space="preserve">16:04:39</t>
  </si>
  <si>
    <t xml:space="preserve">16:05:07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</si>
  <si>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조금 기다리심</t>
    </r>
    <r>
      <rPr>
        <sz val="10"/>
        <rFont val="Arial"/>
        <family val="0"/>
        <charset val="1"/>
      </rPr>
      <t xml:space="preserve">.</t>
    </r>
  </si>
  <si>
    <t xml:space="preserve">6</t>
  </si>
  <si>
    <t xml:space="preserve">신소재</t>
  </si>
  <si>
    <t xml:space="preserve">정차 X</t>
  </si>
  <si>
    <t xml:space="preserve">7</t>
  </si>
  <si>
    <r>
      <rPr>
        <sz val="10"/>
        <rFont val="Arial"/>
        <family val="0"/>
        <charset val="1"/>
      </rPr>
      <t xml:space="preserve">302</t>
    </r>
    <r>
      <rPr>
        <sz val="10"/>
        <rFont val="Noto Sans CJK SC"/>
        <family val="2"/>
      </rPr>
      <t xml:space="preserve">동</t>
    </r>
  </si>
  <si>
    <t xml:space="preserve">16:08:41</t>
  </si>
  <si>
    <t xml:space="preserve">16:09:32</t>
  </si>
  <si>
    <t xml:space="preserve">버스 갈아탐.</t>
  </si>
  <si>
    <t xml:space="preserve">8</t>
  </si>
  <si>
    <r>
      <rPr>
        <sz val="10"/>
        <rFont val="Arial"/>
        <family val="0"/>
        <charset val="1"/>
      </rPr>
      <t xml:space="preserve">301</t>
    </r>
    <r>
      <rPr>
        <sz val="10"/>
        <rFont val="Noto Sans CJK SC"/>
        <family val="2"/>
      </rPr>
      <t xml:space="preserve">동</t>
    </r>
  </si>
  <si>
    <t xml:space="preserve">16:10:35</t>
  </si>
  <si>
    <t xml:space="preserve">16:10:42</t>
  </si>
  <si>
    <t xml:space="preserve">9</t>
  </si>
  <si>
    <t xml:space="preserve">유전공학</t>
  </si>
  <si>
    <t xml:space="preserve">16:11:32</t>
  </si>
  <si>
    <t xml:space="preserve">16:11:39</t>
  </si>
  <si>
    <t xml:space="preserve">하차 1명</t>
  </si>
  <si>
    <t xml:space="preserve">10</t>
  </si>
  <si>
    <t xml:space="preserve">교수회관</t>
  </si>
  <si>
    <t xml:space="preserve">16:12:24</t>
  </si>
  <si>
    <t xml:space="preserve">16:12:30</t>
  </si>
  <si>
    <t xml:space="preserve">11</t>
  </si>
  <si>
    <t xml:space="preserve">기숙사</t>
  </si>
  <si>
    <t xml:space="preserve">16:13:56</t>
  </si>
  <si>
    <t xml:space="preserve">16:14:06</t>
  </si>
  <si>
    <t xml:space="preserve">승차 1/ 하차 6</t>
  </si>
  <si>
    <t xml:space="preserve">12</t>
  </si>
  <si>
    <t xml:space="preserve">국제대학원</t>
  </si>
  <si>
    <t xml:space="preserve">16:15:43</t>
  </si>
  <si>
    <t xml:space="preserve">16:15:49</t>
  </si>
  <si>
    <t xml:space="preserve">하차1</t>
  </si>
  <si>
    <t xml:space="preserve">13</t>
  </si>
  <si>
    <t xml:space="preserve">수의대</t>
  </si>
  <si>
    <t xml:space="preserve">16:16:34</t>
  </si>
  <si>
    <t xml:space="preserve">16:16:42</t>
  </si>
  <si>
    <t xml:space="preserve">승차 1/ 하차 3</t>
  </si>
  <si>
    <t xml:space="preserve">14</t>
  </si>
  <si>
    <t xml:space="preserve">경영대</t>
  </si>
  <si>
    <t xml:space="preserve">16:17:23</t>
  </si>
  <si>
    <t xml:space="preserve">16:17:33</t>
  </si>
  <si>
    <t xml:space="preserve">승차1</t>
  </si>
  <si>
    <r>
      <rPr>
        <sz val="9"/>
        <color rgb="FF888888"/>
        <rFont val="Arial"/>
        <family val="0"/>
        <charset val="1"/>
      </rPr>
      <t xml:space="preserve">1</t>
    </r>
    <r>
      <rPr>
        <sz val="9"/>
        <color rgb="FF888888"/>
        <rFont val="Noto Sans CJK SC"/>
        <family val="2"/>
      </rPr>
      <t xml:space="preserve">바퀴</t>
    </r>
  </si>
  <si>
    <t xml:space="preserve">복귀</t>
  </si>
  <si>
    <t xml:space="preserve">경영대→정문</t>
  </si>
  <si>
    <t xml:space="preserve">복귀구간</t>
  </si>
  <si>
    <t xml:space="preserve">탤래토비 급 맑음</t>
  </si>
  <si>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바퀴</t>
    </r>
  </si>
  <si>
    <t xml:space="preserve">16:18:47</t>
  </si>
  <si>
    <t xml:space="preserve">16:19:33</t>
  </si>
  <si>
    <t xml:space="preserve">- / 1</t>
  </si>
  <si>
    <t xml:space="preserve">16:20:26</t>
  </si>
  <si>
    <t xml:space="preserve">16:20:32</t>
  </si>
  <si>
    <t xml:space="preserve">1 / -</t>
  </si>
  <si>
    <t xml:space="preserve">16:21:20</t>
  </si>
  <si>
    <t xml:space="preserve">16:21:30</t>
  </si>
  <si>
    <t xml:space="preserve">2 / 2</t>
  </si>
  <si>
    <t xml:space="preserve">16:22:42</t>
  </si>
  <si>
    <t xml:space="preserve">16:23:01</t>
  </si>
  <si>
    <t xml:space="preserve">5 / -</t>
  </si>
  <si>
    <t xml:space="preserve">16:23:52</t>
  </si>
  <si>
    <t xml:space="preserve">16:24:01</t>
  </si>
  <si>
    <t xml:space="preserve">16:24:41</t>
  </si>
  <si>
    <t xml:space="preserve">16:24:43</t>
  </si>
  <si>
    <t xml:space="preserve">- / -</t>
  </si>
  <si>
    <t xml:space="preserve">16:27:44</t>
  </si>
  <si>
    <t xml:space="preserve">16:29:15</t>
  </si>
  <si>
    <r>
      <rPr>
        <sz val="10"/>
        <rFont val="Arial"/>
        <family val="0"/>
        <charset val="1"/>
      </rPr>
      <t xml:space="preserve">2 / 4 - 2</t>
    </r>
    <r>
      <rPr>
        <sz val="10"/>
        <rFont val="Noto Sans CJK SC"/>
        <family val="2"/>
      </rPr>
      <t xml:space="preserve">명까지 타서야 출발함</t>
    </r>
    <r>
      <rPr>
        <sz val="10"/>
        <rFont val="Arial"/>
        <family val="0"/>
        <charset val="1"/>
      </rPr>
      <t xml:space="preserve">..</t>
    </r>
  </si>
  <si>
    <t xml:space="preserve">16:30:12</t>
  </si>
  <si>
    <t xml:space="preserve">16:30:25</t>
  </si>
  <si>
    <t xml:space="preserve">3 / -</t>
  </si>
  <si>
    <t xml:space="preserve">16:31:14</t>
  </si>
  <si>
    <t xml:space="preserve">16:31:21</t>
  </si>
  <si>
    <t xml:space="preserve">16:32:02</t>
  </si>
  <si>
    <t xml:space="preserve">16:32:12</t>
  </si>
  <si>
    <t xml:space="preserve">16:33:33</t>
  </si>
  <si>
    <t xml:space="preserve">16:33:52</t>
  </si>
  <si>
    <t xml:space="preserve">- / 8</t>
  </si>
  <si>
    <t xml:space="preserve">16:35:17</t>
  </si>
  <si>
    <t xml:space="preserve">16:35:21</t>
  </si>
  <si>
    <t xml:space="preserve">16:36:01</t>
  </si>
  <si>
    <t xml:space="preserve">16:36:07</t>
  </si>
  <si>
    <t xml:space="preserve">16:36:44</t>
  </si>
  <si>
    <t xml:space="preserve">16:37:01</t>
  </si>
  <si>
    <t xml:space="preserve">- / 2</t>
  </si>
  <si>
    <r>
      <rPr>
        <sz val="9"/>
        <color rgb="FF888888"/>
        <rFont val="Arial"/>
        <family val="0"/>
        <charset val="1"/>
      </rPr>
      <t xml:space="preserve">2</t>
    </r>
    <r>
      <rPr>
        <sz val="9"/>
        <color rgb="FF888888"/>
        <rFont val="Noto Sans CJK SC"/>
        <family val="2"/>
      </rPr>
      <t xml:space="preserve">바퀴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</si>
  <si>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바퀴</t>
    </r>
  </si>
  <si>
    <t xml:space="preserve">16:46:36</t>
  </si>
  <si>
    <t xml:space="preserve">16:47:14</t>
  </si>
  <si>
    <r>
      <rPr>
        <sz val="10"/>
        <rFont val="Arial"/>
        <family val="0"/>
        <charset val="1"/>
      </rPr>
      <t xml:space="preserve">1 / 1  </t>
    </r>
    <r>
      <rPr>
        <sz val="10"/>
        <rFont val="Noto Sans CJK SC"/>
        <family val="2"/>
      </rPr>
      <t xml:space="preserve">경영대에서 하차 후 다음 버스로 환승하여 나온 구간</t>
    </r>
    <r>
      <rPr>
        <sz val="10"/>
        <rFont val="Arial"/>
        <family val="0"/>
        <charset val="1"/>
      </rPr>
      <t xml:space="preserve">.</t>
    </r>
  </si>
  <si>
    <t xml:space="preserve">16:47:52</t>
  </si>
  <si>
    <t xml:space="preserve">16:48:07</t>
  </si>
  <si>
    <t xml:space="preserve">16:49:00</t>
  </si>
  <si>
    <t xml:space="preserve">16:49:09</t>
  </si>
  <si>
    <t xml:space="preserve">3 / 4</t>
  </si>
  <si>
    <t xml:space="preserve">16:50:21</t>
  </si>
  <si>
    <t xml:space="preserve">16:51:04</t>
  </si>
  <si>
    <r>
      <rPr>
        <sz val="10"/>
        <rFont val="Arial"/>
        <family val="0"/>
        <charset val="1"/>
      </rPr>
      <t xml:space="preserve">4 / 2 - </t>
    </r>
    <r>
      <rPr>
        <sz val="10"/>
        <rFont val="Noto Sans CJK SC"/>
        <family val="2"/>
      </rPr>
      <t xml:space="preserve">승차 이후 추가 기다림</t>
    </r>
  </si>
  <si>
    <t xml:space="preserve">16:51:53</t>
  </si>
  <si>
    <t xml:space="preserve">16:52:14</t>
  </si>
  <si>
    <t xml:space="preserve">3 / 3</t>
  </si>
  <si>
    <t xml:space="preserve">16:52:54</t>
  </si>
  <si>
    <t xml:space="preserve">16:53:08</t>
  </si>
  <si>
    <t xml:space="preserve">2 / 1</t>
  </si>
  <si>
    <t xml:space="preserve">16:56:16</t>
  </si>
  <si>
    <t xml:space="preserve">16:56:43</t>
  </si>
  <si>
    <t xml:space="preserve">6 / 10</t>
  </si>
  <si>
    <t xml:space="preserve">16:57:36</t>
  </si>
  <si>
    <t xml:space="preserve">16:57:49</t>
  </si>
  <si>
    <t xml:space="preserve">3 /  -</t>
  </si>
  <si>
    <t xml:space="preserve">16:58:40</t>
  </si>
  <si>
    <t xml:space="preserve">16:58:51</t>
  </si>
  <si>
    <t xml:space="preserve">16:59:40</t>
  </si>
  <si>
    <t xml:space="preserve">16:59:42</t>
  </si>
  <si>
    <t xml:space="preserve">17:00:56</t>
  </si>
  <si>
    <t xml:space="preserve">17:01:27</t>
  </si>
  <si>
    <t xml:space="preserve">- / 6 </t>
  </si>
  <si>
    <t xml:space="preserve">17:02:57</t>
  </si>
  <si>
    <t xml:space="preserve">17:03:03</t>
  </si>
  <si>
    <t xml:space="preserve">17:03:47</t>
  </si>
  <si>
    <t xml:space="preserve">17:03:53</t>
  </si>
  <si>
    <t xml:space="preserve">17:04:35</t>
  </si>
  <si>
    <t xml:space="preserve">17:04:59</t>
  </si>
  <si>
    <t xml:space="preserve">8 / -</t>
  </si>
  <si>
    <r>
      <rPr>
        <sz val="9"/>
        <color rgb="FF888888"/>
        <rFont val="Arial"/>
        <family val="0"/>
        <charset val="1"/>
      </rPr>
      <t xml:space="preserve">3</t>
    </r>
    <r>
      <rPr>
        <sz val="9"/>
        <color rgb="FF888888"/>
        <rFont val="Noto Sans CJK SC"/>
        <family val="2"/>
      </rPr>
      <t xml:space="preserve">바퀴</t>
    </r>
  </si>
  <si>
    <t xml:space="preserve">정차 시간 (초)</t>
  </si>
  <si>
    <t xml:space="preserve">측정자 1</t>
  </si>
  <si>
    <t xml:space="preserve">측정자 2 (미입력)</t>
  </si>
  <si>
    <t xml:space="preserve">측정자1
평균</t>
  </si>
  <si>
    <t xml:space="preserve">측정자2
평균</t>
  </si>
  <si>
    <t xml:space="preserve">전체
평균</t>
  </si>
  <si>
    <r>
      <rPr>
        <b val="true"/>
        <sz val="9"/>
        <color rgb="FFFFFFFF"/>
        <rFont val="Arial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바퀴</t>
    </r>
  </si>
  <si>
    <r>
      <rPr>
        <b val="true"/>
        <sz val="9"/>
        <color rgb="FFFFFFFF"/>
        <rFont val="Arial"/>
        <family val="0"/>
        <charset val="1"/>
      </rPr>
      <t xml:space="preserve">2</t>
    </r>
    <r>
      <rPr>
        <b val="true"/>
        <sz val="9"/>
        <color rgb="FFFFFFFF"/>
        <rFont val="Noto Sans CJK SC"/>
        <family val="2"/>
      </rPr>
      <t xml:space="preserve">바퀴</t>
    </r>
  </si>
  <si>
    <r>
      <rPr>
        <b val="true"/>
        <sz val="9"/>
        <color rgb="FFFFFFFF"/>
        <rFont val="Arial"/>
        <family val="0"/>
        <charset val="1"/>
      </rPr>
      <t xml:space="preserve">3</t>
    </r>
    <r>
      <rPr>
        <b val="true"/>
        <sz val="9"/>
        <color rgb="FFFFFFFF"/>
        <rFont val="Noto Sans CJK SC"/>
        <family val="2"/>
      </rPr>
      <t xml:space="preserve">바퀴</t>
    </r>
  </si>
  <si>
    <r>
      <rPr>
        <b val="true"/>
        <sz val="10"/>
        <rFont val="Arial"/>
        <family val="0"/>
        <charset val="1"/>
      </rPr>
      <t xml:space="preserve">38</t>
    </r>
    <r>
      <rPr>
        <b val="true"/>
        <sz val="10"/>
        <rFont val="Noto Sans CJK SC"/>
        <family val="2"/>
      </rPr>
      <t xml:space="preserve">동</t>
    </r>
  </si>
  <si>
    <r>
      <rPr>
        <b val="true"/>
        <sz val="10"/>
        <rFont val="Arial"/>
        <family val="0"/>
        <charset val="1"/>
      </rPr>
      <t xml:space="preserve">302</t>
    </r>
    <r>
      <rPr>
        <b val="true"/>
        <sz val="10"/>
        <rFont val="Noto Sans CJK SC"/>
        <family val="2"/>
      </rPr>
      <t xml:space="preserve">동</t>
    </r>
  </si>
  <si>
    <r>
      <rPr>
        <b val="true"/>
        <sz val="10"/>
        <rFont val="Arial"/>
        <family val="0"/>
        <charset val="1"/>
      </rPr>
      <t xml:space="preserve">301</t>
    </r>
    <r>
      <rPr>
        <b val="true"/>
        <sz val="10"/>
        <rFont val="Noto Sans CJK SC"/>
        <family val="2"/>
      </rPr>
      <t xml:space="preserve">동</t>
    </r>
  </si>
  <si>
    <t xml:space="preserve">구조적결측</t>
  </si>
  <si>
    <t xml:space="preserve">전체 평균</t>
  </si>
  <si>
    <t xml:space="preserve">구간 소요시간 (초)</t>
  </si>
  <si>
    <t xml:space="preserve">정문→법과대</t>
  </si>
  <si>
    <t xml:space="preserve">법과대→자연대</t>
  </si>
  <si>
    <t xml:space="preserve">자연대→농생대</t>
  </si>
  <si>
    <t xml:space="preserve">농생대→38동</t>
  </si>
  <si>
    <r>
      <rPr>
        <b val="true"/>
        <sz val="9"/>
        <rFont val="Arial"/>
        <family val="0"/>
        <charset val="1"/>
      </rPr>
      <t xml:space="preserve">38</t>
    </r>
    <r>
      <rPr>
        <b val="true"/>
        <sz val="9"/>
        <rFont val="Noto Sans CJK SC"/>
        <family val="2"/>
      </rPr>
      <t xml:space="preserve">동→신소재</t>
    </r>
  </si>
  <si>
    <t xml:space="preserve">신소재→302동</t>
  </si>
  <si>
    <r>
      <rPr>
        <b val="true"/>
        <sz val="9"/>
        <rFont val="Arial"/>
        <family val="0"/>
        <charset val="1"/>
      </rPr>
      <t xml:space="preserve">302</t>
    </r>
    <r>
      <rPr>
        <b val="true"/>
        <sz val="9"/>
        <rFont val="Noto Sans CJK SC"/>
        <family val="2"/>
      </rPr>
      <t xml:space="preserve">동→</t>
    </r>
    <r>
      <rPr>
        <b val="true"/>
        <sz val="9"/>
        <rFont val="Arial"/>
        <family val="0"/>
        <charset val="1"/>
      </rPr>
      <t xml:space="preserve">301</t>
    </r>
    <r>
      <rPr>
        <b val="true"/>
        <sz val="9"/>
        <rFont val="Noto Sans CJK SC"/>
        <family val="2"/>
      </rPr>
      <t xml:space="preserve">동</t>
    </r>
  </si>
  <si>
    <r>
      <rPr>
        <b val="true"/>
        <sz val="9"/>
        <rFont val="Arial"/>
        <family val="0"/>
        <charset val="1"/>
      </rPr>
      <t xml:space="preserve">301</t>
    </r>
    <r>
      <rPr>
        <b val="true"/>
        <sz val="9"/>
        <rFont val="Noto Sans CJK SC"/>
        <family val="2"/>
      </rPr>
      <t xml:space="preserve">동→유전공학</t>
    </r>
  </si>
  <si>
    <t xml:space="preserve">유전공학→교수회관</t>
  </si>
  <si>
    <t xml:space="preserve">교수회관→기숙사</t>
  </si>
  <si>
    <t xml:space="preserve">기숙사→국제대학원</t>
  </si>
  <si>
    <t xml:space="preserve">국제대학원→수의대</t>
  </si>
  <si>
    <t xml:space="preserve">수의대→경영대</t>
  </si>
  <si>
    <t xml:space="preserve">셔틀 측정 원시 데이터 — 측정자 2 (3바퀴 연속)</t>
  </si>
  <si>
    <r>
      <rPr>
        <i val="true"/>
        <sz val="8"/>
        <color rgb="FF888888"/>
        <rFont val="Arial"/>
        <family val="0"/>
        <charset val="1"/>
      </rPr>
      <t xml:space="preserve">※ 1</t>
    </r>
    <r>
      <rPr>
        <i val="true"/>
        <sz val="8"/>
        <color rgb="FF888888"/>
        <rFont val="Noto Sans CJK SC"/>
        <family val="2"/>
      </rPr>
      <t xml:space="preserve">바퀴 시작</t>
    </r>
    <r>
      <rPr>
        <i val="true"/>
        <sz val="8"/>
        <color rgb="FF888888"/>
        <rFont val="Arial"/>
        <family val="0"/>
        <charset val="1"/>
      </rPr>
      <t xml:space="preserve">: </t>
    </r>
    <r>
      <rPr>
        <i val="true"/>
        <sz val="8"/>
        <color rgb="FF888888"/>
        <rFont val="Noto Sans CJK SC"/>
        <family val="2"/>
      </rPr>
      <t xml:space="preserve">농생대 </t>
    </r>
    <r>
      <rPr>
        <i val="true"/>
        <sz val="8"/>
        <color rgb="FF888888"/>
        <rFont val="Arial"/>
        <family val="0"/>
        <charset val="1"/>
      </rPr>
      <t xml:space="preserve">/ 2·3</t>
    </r>
    <r>
      <rPr>
        <i val="true"/>
        <sz val="8"/>
        <color rgb="FF888888"/>
        <rFont val="Noto Sans CJK SC"/>
        <family val="2"/>
      </rPr>
      <t xml:space="preserve">바퀴 시작</t>
    </r>
    <r>
      <rPr>
        <i val="true"/>
        <sz val="8"/>
        <color rgb="FF888888"/>
        <rFont val="Arial"/>
        <family val="0"/>
        <charset val="1"/>
      </rPr>
      <t xml:space="preserve">: 301</t>
    </r>
    <r>
      <rPr>
        <i val="true"/>
        <sz val="8"/>
        <color rgb="FF888888"/>
        <rFont val="Noto Sans CJK SC"/>
        <family val="2"/>
      </rPr>
      <t xml:space="preserve">동 </t>
    </r>
    <r>
      <rPr>
        <i val="true"/>
        <sz val="8"/>
        <color rgb="FF888888"/>
        <rFont val="Arial"/>
        <family val="0"/>
        <charset val="1"/>
      </rPr>
      <t xml:space="preserve">| </t>
    </r>
    <r>
      <rPr>
        <i val="true"/>
        <sz val="8"/>
        <color rgb="FF888888"/>
        <rFont val="Noto Sans CJK SC"/>
        <family val="2"/>
      </rPr>
      <t xml:space="preserve">빨간 셀</t>
    </r>
    <r>
      <rPr>
        <i val="true"/>
        <sz val="8"/>
        <color rgb="FF888888"/>
        <rFont val="Arial"/>
        <family val="0"/>
        <charset val="1"/>
      </rPr>
      <t xml:space="preserve">=</t>
    </r>
    <r>
      <rPr>
        <i val="true"/>
        <sz val="8"/>
        <color rgb="FF888888"/>
        <rFont val="Noto Sans CJK SC"/>
        <family val="2"/>
      </rPr>
      <t xml:space="preserve">구조적 결측</t>
    </r>
    <r>
      <rPr>
        <i val="true"/>
        <sz val="8"/>
        <color rgb="FF888888"/>
        <rFont val="Arial"/>
        <family val="0"/>
        <charset val="1"/>
      </rPr>
      <t xml:space="preserve">(</t>
    </r>
    <r>
      <rPr>
        <i val="true"/>
        <sz val="8"/>
        <color rgb="FF888888"/>
        <rFont val="Noto Sans CJK SC"/>
        <family val="2"/>
      </rPr>
      <t xml:space="preserve">출발점 특성상 측정 불가</t>
    </r>
    <r>
      <rPr>
        <i val="true"/>
        <sz val="8"/>
        <color rgb="FF888888"/>
        <rFont val="Arial"/>
        <family val="0"/>
        <charset val="1"/>
      </rPr>
      <t xml:space="preserve">) | </t>
    </r>
    <r>
      <rPr>
        <i val="true"/>
        <sz val="8"/>
        <color rgb="FF888888"/>
        <rFont val="Noto Sans CJK SC"/>
        <family val="2"/>
      </rPr>
      <t xml:space="preserve">복귀구간 소요 이상치 제외 </t>
    </r>
    <r>
      <rPr>
        <i val="true"/>
        <sz val="8"/>
        <color rgb="FF888888"/>
        <rFont val="Arial"/>
        <family val="0"/>
        <charset val="1"/>
      </rPr>
      <t xml:space="preserve">| </t>
    </r>
    <r>
      <rPr>
        <i val="true"/>
        <sz val="8"/>
        <color rgb="FF888888"/>
        <rFont val="Noto Sans CJK SC"/>
        <family val="2"/>
      </rPr>
      <t xml:space="preserve">측정자 열 제외</t>
    </r>
  </si>
  <si>
    <t xml:space="preserve">맑음</t>
  </si>
  <si>
    <r>
      <rPr>
        <sz val="10"/>
        <rFont val="Arial"/>
        <family val="0"/>
        <charset val="1"/>
      </rPr>
      <t xml:space="preserve">M2-1</t>
    </r>
    <r>
      <rPr>
        <sz val="10"/>
        <rFont val="Noto Sans CJK SC"/>
        <family val="2"/>
      </rPr>
      <t xml:space="preserve">바퀴</t>
    </r>
  </si>
  <si>
    <t xml:space="preserve">17:16:37</t>
  </si>
  <si>
    <t xml:space="preserve">17:16:45</t>
  </si>
  <si>
    <t xml:space="preserve">17:17:43</t>
  </si>
  <si>
    <t xml:space="preserve">17:17:54</t>
  </si>
  <si>
    <t xml:space="preserve">17:18:12</t>
  </si>
  <si>
    <t xml:space="preserve">17:18:13</t>
  </si>
  <si>
    <t xml:space="preserve">17:21:24</t>
  </si>
  <si>
    <t xml:space="preserve">17:22:26</t>
  </si>
  <si>
    <t xml:space="preserve">17:23:30</t>
  </si>
  <si>
    <t xml:space="preserve">17:23:39</t>
  </si>
  <si>
    <t xml:space="preserve">17:24:30</t>
  </si>
  <si>
    <t xml:space="preserve">17:24:39</t>
  </si>
  <si>
    <t xml:space="preserve">17:25:31</t>
  </si>
  <si>
    <t xml:space="preserve">17:25:36</t>
  </si>
  <si>
    <t xml:space="preserve">17:26:59</t>
  </si>
  <si>
    <t xml:space="preserve">17:27:26</t>
  </si>
  <si>
    <t xml:space="preserve">17:29:06</t>
  </si>
  <si>
    <t xml:space="preserve">17:29:14</t>
  </si>
  <si>
    <t xml:space="preserve">17:30:01</t>
  </si>
  <si>
    <t xml:space="preserve">17:30:12</t>
  </si>
  <si>
    <t xml:space="preserve">17:31:01</t>
  </si>
  <si>
    <t xml:space="preserve">17:31:10</t>
  </si>
  <si>
    <t xml:space="preserve">17:32:22</t>
  </si>
  <si>
    <t xml:space="preserve">17:32:46</t>
  </si>
  <si>
    <t xml:space="preserve">17:33:43</t>
  </si>
  <si>
    <t xml:space="preserve">17:33:52</t>
  </si>
  <si>
    <t xml:space="preserve">17:34:52</t>
  </si>
  <si>
    <t xml:space="preserve">17:35:07</t>
  </si>
  <si>
    <r>
      <rPr>
        <sz val="10"/>
        <rFont val="Arial"/>
        <family val="0"/>
        <charset val="1"/>
      </rPr>
      <t xml:space="preserve">M2-2</t>
    </r>
    <r>
      <rPr>
        <sz val="10"/>
        <rFont val="Noto Sans CJK SC"/>
        <family val="2"/>
      </rPr>
      <t xml:space="preserve">바퀴</t>
    </r>
  </si>
  <si>
    <t xml:space="preserve">17:43:42</t>
  </si>
  <si>
    <t xml:space="preserve">17:44:37</t>
  </si>
  <si>
    <t xml:space="preserve">17:45:02</t>
  </si>
  <si>
    <t xml:space="preserve">17:45:41</t>
  </si>
  <si>
    <t xml:space="preserve">17:45:53</t>
  </si>
  <si>
    <t xml:space="preserve">17:47:07</t>
  </si>
  <si>
    <t xml:space="preserve">17:47:25</t>
  </si>
  <si>
    <t xml:space="preserve">17:48:50</t>
  </si>
  <si>
    <t xml:space="preserve">17:48:59</t>
  </si>
  <si>
    <t xml:space="preserve">17:49:42</t>
  </si>
  <si>
    <t xml:space="preserve">17:49:55</t>
  </si>
  <si>
    <t xml:space="preserve">17:50:40</t>
  </si>
  <si>
    <t xml:space="preserve">17:50:41</t>
  </si>
  <si>
    <t xml:space="preserve">17:51:45</t>
  </si>
  <si>
    <t xml:space="preserve">17:53:01</t>
  </si>
  <si>
    <t xml:space="preserve">17:53:57</t>
  </si>
  <si>
    <t xml:space="preserve">17:54:10</t>
  </si>
  <si>
    <t xml:space="preserve">17:54:54</t>
  </si>
  <si>
    <t xml:space="preserve">17:55:17</t>
  </si>
  <si>
    <t xml:space="preserve">17:56:29</t>
  </si>
  <si>
    <t xml:space="preserve">17:56:50</t>
  </si>
  <si>
    <t xml:space="preserve">17:57:39</t>
  </si>
  <si>
    <t xml:space="preserve">17:57:57</t>
  </si>
  <si>
    <t xml:space="preserve">17:58:37</t>
  </si>
  <si>
    <t xml:space="preserve">17:58:38</t>
  </si>
  <si>
    <t xml:space="preserve">18:01:43</t>
  </si>
  <si>
    <t xml:space="preserve">18:02:36</t>
  </si>
  <si>
    <r>
      <rPr>
        <sz val="10"/>
        <rFont val="Arial"/>
        <family val="0"/>
        <charset val="1"/>
      </rPr>
      <t xml:space="preserve">M2-3</t>
    </r>
    <r>
      <rPr>
        <sz val="10"/>
        <rFont val="Noto Sans CJK SC"/>
        <family val="2"/>
      </rPr>
      <t xml:space="preserve">바퀴</t>
    </r>
  </si>
  <si>
    <t xml:space="preserve">18:03:08</t>
  </si>
  <si>
    <t xml:space="preserve">18:03:21</t>
  </si>
  <si>
    <t xml:space="preserve">18:04:02</t>
  </si>
  <si>
    <t xml:space="preserve">18:04:15</t>
  </si>
  <si>
    <t xml:space="preserve">18:05:00</t>
  </si>
  <si>
    <t xml:space="preserve">18:05:09</t>
  </si>
  <si>
    <t xml:space="preserve">18:06:23</t>
  </si>
  <si>
    <t xml:space="preserve">18:06:46</t>
  </si>
  <si>
    <t xml:space="preserve">18:08:19</t>
  </si>
  <si>
    <t xml:space="preserve">18:08:22</t>
  </si>
  <si>
    <t xml:space="preserve">18:09:02</t>
  </si>
  <si>
    <t xml:space="preserve">18:09:18</t>
  </si>
  <si>
    <t xml:space="preserve">18:09:55</t>
  </si>
  <si>
    <t xml:space="preserve">18:10:09</t>
  </si>
  <si>
    <t xml:space="preserve">18:11:24</t>
  </si>
  <si>
    <t xml:space="preserve">18:12:01</t>
  </si>
  <si>
    <t xml:space="preserve">18:12:54</t>
  </si>
  <si>
    <t xml:space="preserve">18:13:05</t>
  </si>
  <si>
    <t xml:space="preserve">18:13:51</t>
  </si>
  <si>
    <t xml:space="preserve">18:14:13</t>
  </si>
  <si>
    <t xml:space="preserve">18:15:28</t>
  </si>
  <si>
    <t xml:space="preserve">18:15:46</t>
  </si>
  <si>
    <t xml:space="preserve">18:16:28</t>
  </si>
  <si>
    <t xml:space="preserve">18:16:43</t>
  </si>
  <si>
    <t xml:space="preserve">18:17:31</t>
  </si>
  <si>
    <t xml:space="preserve">18:17:33</t>
  </si>
  <si>
    <t xml:space="preserve">18:20:30</t>
  </si>
  <si>
    <t xml:space="preserve">18:21:27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</si>
</sst>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i val="true"/>
      <sz val="8"/>
      <color rgb="FF888888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sz val="9"/>
      <color rgb="FF888888"/>
      <name val="Arial"/>
      <family val="0"/>
      <charset val="1"/>
    </font>
    <font>
      <sz val="9"/>
      <color rgb="FF888888"/>
      <name val="Noto Sans CJK SC"/>
      <family val="2"/>
    </font>
    <font>
      <sz val="9"/>
      <color rgb="FF888888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name val="Noto Sans CJK SC"/>
      <family val="2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i val="true"/>
      <sz val="9"/>
      <color rgb="FFCC0000"/>
      <name val="Noto Sans CJK SC"/>
      <family val="2"/>
      <charset val="1"/>
    </font>
    <font>
      <b val="true"/>
      <sz val="9"/>
      <name val="Noto Sans CJK SC"/>
      <family val="2"/>
      <charset val="1"/>
    </font>
    <font>
      <b val="true"/>
      <sz val="9"/>
      <name val="Arial"/>
      <family val="0"/>
      <charset val="1"/>
    </font>
    <font>
      <b val="true"/>
      <sz val="9"/>
      <name val="Noto Sans CJK SC"/>
      <family val="2"/>
    </font>
    <font>
      <i val="true"/>
      <sz val="8"/>
      <color rgb="FF888888"/>
      <name val="Arial"/>
      <family val="0"/>
      <charset val="1"/>
    </font>
    <font>
      <i val="true"/>
      <sz val="8"/>
      <color rgb="FF888888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B"/>
        <bgColor rgb="FF3366FF"/>
      </patternFill>
    </fill>
    <fill>
      <patternFill patternType="solid">
        <fgColor rgb="FFF4F7FC"/>
        <bgColor rgb="FFEEF4FF"/>
      </patternFill>
    </fill>
    <fill>
      <patternFill patternType="solid">
        <fgColor rgb="FFFFFFFF"/>
        <bgColor rgb="FFF4F7FC"/>
      </patternFill>
    </fill>
    <fill>
      <patternFill patternType="solid">
        <fgColor rgb="FFEEF4FF"/>
        <bgColor rgb="FFEBF0FA"/>
      </patternFill>
    </fill>
    <fill>
      <patternFill patternType="solid">
        <fgColor rgb="FFD6E4F7"/>
        <bgColor rgb="FFC6D9F1"/>
      </patternFill>
    </fill>
    <fill>
      <patternFill patternType="solid">
        <fgColor rgb="FFEBF0FA"/>
        <bgColor rgb="FFEEF4FF"/>
      </patternFill>
    </fill>
    <fill>
      <patternFill patternType="solid">
        <fgColor rgb="FFC6D9F1"/>
        <bgColor rgb="FFD6E4F7"/>
      </patternFill>
    </fill>
    <fill>
      <patternFill patternType="solid">
        <fgColor rgb="FFFFE0E0"/>
        <bgColor rgb="FFEBF0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88888"/>
      <rgbColor rgb="FF9999FF"/>
      <rgbColor rgb="FF993366"/>
      <rgbColor rgb="FFF4F7FC"/>
      <rgbColor rgb="FFEEF4FF"/>
      <rgbColor rgb="FF660066"/>
      <rgbColor rgb="FFFF8080"/>
      <rgbColor rgb="FF2E5FAB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0FA"/>
      <rgbColor rgb="FFD6E4F7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8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8" min="6" style="1" width="10"/>
    <col collapsed="false" customWidth="true" hidden="false" outlineLevel="0" max="9" min="9" style="1" width="12"/>
    <col collapsed="false" customWidth="true" hidden="false" outlineLevel="0" max="10" min="10" style="1" width="32"/>
  </cols>
  <sheetData>
    <row r="1" customFormat="false" ht="27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8" hidden="false" customHeight="true" outlineLevel="0" collapsed="false">
      <c r="A4" s="5" t="s">
        <v>12</v>
      </c>
      <c r="B4" s="5"/>
      <c r="C4" s="5" t="s">
        <v>13</v>
      </c>
      <c r="D4" s="5" t="s">
        <v>14</v>
      </c>
      <c r="E4" s="6" t="s">
        <v>15</v>
      </c>
      <c r="F4" s="5" t="s">
        <v>16</v>
      </c>
      <c r="G4" s="5" t="s">
        <v>17</v>
      </c>
      <c r="H4" s="5"/>
      <c r="I4" s="5"/>
      <c r="J4" s="5"/>
    </row>
    <row r="5" customFormat="false" ht="18" hidden="false" customHeight="true" outlineLevel="0" collapsed="false">
      <c r="A5" s="7" t="s">
        <v>12</v>
      </c>
      <c r="B5" s="7"/>
      <c r="C5" s="7" t="s">
        <v>13</v>
      </c>
      <c r="D5" s="7" t="s">
        <v>18</v>
      </c>
      <c r="E5" s="8" t="s">
        <v>19</v>
      </c>
      <c r="F5" s="7" t="s">
        <v>20</v>
      </c>
      <c r="G5" s="7" t="s">
        <v>21</v>
      </c>
      <c r="H5" s="7"/>
      <c r="I5" s="7"/>
      <c r="J5" s="7" t="s">
        <v>22</v>
      </c>
    </row>
    <row r="6" customFormat="false" ht="18" hidden="false" customHeight="true" outlineLevel="0" collapsed="false">
      <c r="A6" s="5" t="s">
        <v>12</v>
      </c>
      <c r="B6" s="5"/>
      <c r="C6" s="5" t="s">
        <v>13</v>
      </c>
      <c r="D6" s="5" t="s">
        <v>23</v>
      </c>
      <c r="E6" s="6" t="s">
        <v>24</v>
      </c>
      <c r="F6" s="5" t="s">
        <v>25</v>
      </c>
      <c r="G6" s="5" t="s">
        <v>26</v>
      </c>
      <c r="H6" s="5"/>
      <c r="I6" s="5"/>
      <c r="J6" s="5" t="s">
        <v>22</v>
      </c>
    </row>
    <row r="7" customFormat="false" ht="18" hidden="false" customHeight="true" outlineLevel="0" collapsed="false">
      <c r="A7" s="7" t="s">
        <v>12</v>
      </c>
      <c r="B7" s="7"/>
      <c r="C7" s="7" t="s">
        <v>13</v>
      </c>
      <c r="D7" s="7" t="s">
        <v>27</v>
      </c>
      <c r="E7" s="8" t="s">
        <v>28</v>
      </c>
      <c r="F7" s="7" t="s">
        <v>29</v>
      </c>
      <c r="G7" s="7" t="s">
        <v>30</v>
      </c>
      <c r="H7" s="7"/>
      <c r="I7" s="7"/>
      <c r="J7" s="7" t="s">
        <v>31</v>
      </c>
    </row>
    <row r="8" customFormat="false" ht="18" hidden="false" customHeight="true" outlineLevel="0" collapsed="false">
      <c r="A8" s="5" t="s">
        <v>12</v>
      </c>
      <c r="B8" s="5"/>
      <c r="C8" s="5" t="s">
        <v>13</v>
      </c>
      <c r="D8" s="5" t="s">
        <v>32</v>
      </c>
      <c r="E8" s="5" t="s">
        <v>33</v>
      </c>
      <c r="F8" s="5" t="s">
        <v>34</v>
      </c>
      <c r="G8" s="5" t="s">
        <v>35</v>
      </c>
      <c r="H8" s="5"/>
      <c r="I8" s="5"/>
      <c r="J8" s="5" t="s">
        <v>36</v>
      </c>
    </row>
    <row r="9" customFormat="false" ht="18" hidden="false" customHeight="true" outlineLevel="0" collapsed="false">
      <c r="A9" s="7" t="s">
        <v>12</v>
      </c>
      <c r="B9" s="7"/>
      <c r="C9" s="7" t="s">
        <v>13</v>
      </c>
      <c r="D9" s="7" t="s">
        <v>37</v>
      </c>
      <c r="E9" s="8" t="s">
        <v>38</v>
      </c>
      <c r="F9" s="7"/>
      <c r="G9" s="7"/>
      <c r="H9" s="7"/>
      <c r="I9" s="7"/>
      <c r="J9" s="8" t="s">
        <v>39</v>
      </c>
    </row>
    <row r="10" customFormat="false" ht="18" hidden="false" customHeight="true" outlineLevel="0" collapsed="false">
      <c r="A10" s="5" t="s">
        <v>12</v>
      </c>
      <c r="B10" s="5"/>
      <c r="C10" s="5" t="s">
        <v>13</v>
      </c>
      <c r="D10" s="5" t="s">
        <v>40</v>
      </c>
      <c r="E10" s="5" t="s">
        <v>41</v>
      </c>
      <c r="F10" s="5" t="s">
        <v>42</v>
      </c>
      <c r="G10" s="5" t="s">
        <v>43</v>
      </c>
      <c r="H10" s="5"/>
      <c r="I10" s="5"/>
      <c r="J10" s="6" t="s">
        <v>44</v>
      </c>
    </row>
    <row r="11" customFormat="false" ht="18" hidden="false" customHeight="true" outlineLevel="0" collapsed="false">
      <c r="A11" s="7" t="s">
        <v>12</v>
      </c>
      <c r="B11" s="7"/>
      <c r="C11" s="7" t="s">
        <v>13</v>
      </c>
      <c r="D11" s="7" t="s">
        <v>45</v>
      </c>
      <c r="E11" s="7" t="s">
        <v>46</v>
      </c>
      <c r="F11" s="7" t="s">
        <v>47</v>
      </c>
      <c r="G11" s="7" t="s">
        <v>48</v>
      </c>
      <c r="H11" s="7"/>
      <c r="I11" s="7"/>
      <c r="J11" s="7" t="s">
        <v>22</v>
      </c>
    </row>
    <row r="12" customFormat="false" ht="18" hidden="false" customHeight="true" outlineLevel="0" collapsed="false">
      <c r="A12" s="5" t="s">
        <v>12</v>
      </c>
      <c r="B12" s="5"/>
      <c r="C12" s="5" t="s">
        <v>13</v>
      </c>
      <c r="D12" s="5" t="s">
        <v>49</v>
      </c>
      <c r="E12" s="6" t="s">
        <v>50</v>
      </c>
      <c r="F12" s="5" t="s">
        <v>51</v>
      </c>
      <c r="G12" s="5" t="s">
        <v>52</v>
      </c>
      <c r="H12" s="5"/>
      <c r="I12" s="5"/>
      <c r="J12" s="6" t="s">
        <v>53</v>
      </c>
    </row>
    <row r="13" customFormat="false" ht="18" hidden="false" customHeight="true" outlineLevel="0" collapsed="false">
      <c r="A13" s="7" t="s">
        <v>12</v>
      </c>
      <c r="B13" s="7"/>
      <c r="C13" s="7" t="s">
        <v>13</v>
      </c>
      <c r="D13" s="7" t="s">
        <v>54</v>
      </c>
      <c r="E13" s="8" t="s">
        <v>55</v>
      </c>
      <c r="F13" s="7" t="s">
        <v>56</v>
      </c>
      <c r="G13" s="7" t="s">
        <v>57</v>
      </c>
      <c r="H13" s="7"/>
      <c r="I13" s="7"/>
      <c r="J13" s="7"/>
    </row>
    <row r="14" customFormat="false" ht="18" hidden="false" customHeight="true" outlineLevel="0" collapsed="false">
      <c r="A14" s="5" t="s">
        <v>12</v>
      </c>
      <c r="B14" s="5"/>
      <c r="C14" s="5" t="s">
        <v>13</v>
      </c>
      <c r="D14" s="5" t="s">
        <v>58</v>
      </c>
      <c r="E14" s="6" t="s">
        <v>59</v>
      </c>
      <c r="F14" s="5" t="s">
        <v>60</v>
      </c>
      <c r="G14" s="5" t="s">
        <v>61</v>
      </c>
      <c r="H14" s="5"/>
      <c r="I14" s="5"/>
      <c r="J14" s="6" t="s">
        <v>62</v>
      </c>
    </row>
    <row r="15" customFormat="false" ht="18" hidden="false" customHeight="true" outlineLevel="0" collapsed="false">
      <c r="A15" s="7" t="s">
        <v>12</v>
      </c>
      <c r="B15" s="7"/>
      <c r="C15" s="7" t="s">
        <v>13</v>
      </c>
      <c r="D15" s="7" t="s">
        <v>63</v>
      </c>
      <c r="E15" s="8" t="s">
        <v>64</v>
      </c>
      <c r="F15" s="7" t="s">
        <v>65</v>
      </c>
      <c r="G15" s="7" t="s">
        <v>66</v>
      </c>
      <c r="H15" s="7"/>
      <c r="I15" s="7"/>
      <c r="J15" s="8" t="s">
        <v>67</v>
      </c>
    </row>
    <row r="16" customFormat="false" ht="18" hidden="false" customHeight="true" outlineLevel="0" collapsed="false">
      <c r="A16" s="5" t="s">
        <v>12</v>
      </c>
      <c r="B16" s="5"/>
      <c r="C16" s="5" t="s">
        <v>13</v>
      </c>
      <c r="D16" s="5" t="s">
        <v>68</v>
      </c>
      <c r="E16" s="6" t="s">
        <v>69</v>
      </c>
      <c r="F16" s="5" t="s">
        <v>70</v>
      </c>
      <c r="G16" s="5" t="s">
        <v>71</v>
      </c>
      <c r="H16" s="5"/>
      <c r="I16" s="5"/>
      <c r="J16" s="6" t="s">
        <v>72</v>
      </c>
    </row>
    <row r="17" customFormat="false" ht="18" hidden="false" customHeight="true" outlineLevel="0" collapsed="false">
      <c r="A17" s="7" t="s">
        <v>12</v>
      </c>
      <c r="B17" s="7"/>
      <c r="C17" s="7" t="s">
        <v>13</v>
      </c>
      <c r="D17" s="7" t="s">
        <v>73</v>
      </c>
      <c r="E17" s="8" t="s">
        <v>74</v>
      </c>
      <c r="F17" s="7" t="s">
        <v>75</v>
      </c>
      <c r="G17" s="7" t="s">
        <v>76</v>
      </c>
      <c r="H17" s="7"/>
      <c r="I17" s="7"/>
      <c r="J17" s="8" t="s">
        <v>77</v>
      </c>
    </row>
    <row r="18" customFormat="false" ht="18" hidden="false" customHeight="true" outlineLevel="0" collapsed="false">
      <c r="A18" s="9" t="s">
        <v>12</v>
      </c>
      <c r="B18" s="9"/>
      <c r="C18" s="9" t="s">
        <v>78</v>
      </c>
      <c r="D18" s="10" t="s">
        <v>79</v>
      </c>
      <c r="E18" s="10" t="s">
        <v>80</v>
      </c>
      <c r="F18" s="9"/>
      <c r="G18" s="9"/>
      <c r="H18" s="9"/>
      <c r="I18" s="9"/>
      <c r="J18" s="10" t="s">
        <v>81</v>
      </c>
    </row>
    <row r="19" customFormat="false" ht="18" hidden="false" customHeight="true" outlineLevel="0" collapsed="false">
      <c r="A19" s="7" t="s">
        <v>12</v>
      </c>
      <c r="B19" s="8" t="s">
        <v>82</v>
      </c>
      <c r="C19" s="7" t="s">
        <v>83</v>
      </c>
      <c r="D19" s="7" t="s">
        <v>14</v>
      </c>
      <c r="E19" s="8" t="s">
        <v>15</v>
      </c>
      <c r="F19" s="7" t="s">
        <v>84</v>
      </c>
      <c r="G19" s="7" t="s">
        <v>85</v>
      </c>
      <c r="H19" s="7"/>
      <c r="I19" s="7"/>
      <c r="J19" s="7" t="s">
        <v>86</v>
      </c>
    </row>
    <row r="20" customFormat="false" ht="18" hidden="false" customHeight="true" outlineLevel="0" collapsed="false">
      <c r="A20" s="5" t="s">
        <v>12</v>
      </c>
      <c r="B20" s="6" t="s">
        <v>82</v>
      </c>
      <c r="C20" s="5" t="s">
        <v>83</v>
      </c>
      <c r="D20" s="5" t="s">
        <v>18</v>
      </c>
      <c r="E20" s="6" t="s">
        <v>19</v>
      </c>
      <c r="F20" s="5" t="s">
        <v>87</v>
      </c>
      <c r="G20" s="5" t="s">
        <v>88</v>
      </c>
      <c r="H20" s="5"/>
      <c r="I20" s="5"/>
      <c r="J20" s="5" t="s">
        <v>89</v>
      </c>
    </row>
    <row r="21" customFormat="false" ht="18" hidden="false" customHeight="true" outlineLevel="0" collapsed="false">
      <c r="A21" s="7" t="s">
        <v>12</v>
      </c>
      <c r="B21" s="8" t="s">
        <v>82</v>
      </c>
      <c r="C21" s="7" t="s">
        <v>83</v>
      </c>
      <c r="D21" s="7" t="s">
        <v>23</v>
      </c>
      <c r="E21" s="8" t="s">
        <v>24</v>
      </c>
      <c r="F21" s="7" t="s">
        <v>90</v>
      </c>
      <c r="G21" s="7" t="s">
        <v>91</v>
      </c>
      <c r="H21" s="7"/>
      <c r="I21" s="7"/>
      <c r="J21" s="7" t="s">
        <v>92</v>
      </c>
    </row>
    <row r="22" customFormat="false" ht="18" hidden="false" customHeight="true" outlineLevel="0" collapsed="false">
      <c r="A22" s="5" t="s">
        <v>12</v>
      </c>
      <c r="B22" s="6" t="s">
        <v>82</v>
      </c>
      <c r="C22" s="5" t="s">
        <v>83</v>
      </c>
      <c r="D22" s="5" t="s">
        <v>27</v>
      </c>
      <c r="E22" s="6" t="s">
        <v>28</v>
      </c>
      <c r="F22" s="5" t="s">
        <v>93</v>
      </c>
      <c r="G22" s="5" t="s">
        <v>94</v>
      </c>
      <c r="H22" s="5"/>
      <c r="I22" s="5"/>
      <c r="J22" s="5" t="s">
        <v>95</v>
      </c>
    </row>
    <row r="23" customFormat="false" ht="18" hidden="false" customHeight="true" outlineLevel="0" collapsed="false">
      <c r="A23" s="7" t="s">
        <v>12</v>
      </c>
      <c r="B23" s="8" t="s">
        <v>82</v>
      </c>
      <c r="C23" s="7" t="s">
        <v>83</v>
      </c>
      <c r="D23" s="7" t="s">
        <v>32</v>
      </c>
      <c r="E23" s="7" t="s">
        <v>33</v>
      </c>
      <c r="F23" s="7" t="s">
        <v>96</v>
      </c>
      <c r="G23" s="7" t="s">
        <v>97</v>
      </c>
      <c r="H23" s="7"/>
      <c r="I23" s="7"/>
      <c r="J23" s="7" t="s">
        <v>89</v>
      </c>
    </row>
    <row r="24" customFormat="false" ht="18" hidden="false" customHeight="true" outlineLevel="0" collapsed="false">
      <c r="A24" s="5" t="s">
        <v>12</v>
      </c>
      <c r="B24" s="6" t="s">
        <v>82</v>
      </c>
      <c r="C24" s="5" t="s">
        <v>83</v>
      </c>
      <c r="D24" s="5" t="s">
        <v>37</v>
      </c>
      <c r="E24" s="6" t="s">
        <v>38</v>
      </c>
      <c r="F24" s="5" t="s">
        <v>98</v>
      </c>
      <c r="G24" s="5" t="s">
        <v>99</v>
      </c>
      <c r="H24" s="5"/>
      <c r="I24" s="5"/>
      <c r="J24" s="5" t="s">
        <v>100</v>
      </c>
    </row>
    <row r="25" customFormat="false" ht="18" hidden="false" customHeight="true" outlineLevel="0" collapsed="false">
      <c r="A25" s="7" t="s">
        <v>12</v>
      </c>
      <c r="B25" s="8" t="s">
        <v>82</v>
      </c>
      <c r="C25" s="7" t="s">
        <v>83</v>
      </c>
      <c r="D25" s="7" t="s">
        <v>40</v>
      </c>
      <c r="E25" s="7" t="s">
        <v>41</v>
      </c>
      <c r="F25" s="7" t="s">
        <v>101</v>
      </c>
      <c r="G25" s="7" t="s">
        <v>102</v>
      </c>
      <c r="H25" s="7"/>
      <c r="I25" s="7"/>
      <c r="J25" s="7" t="s">
        <v>103</v>
      </c>
    </row>
    <row r="26" customFormat="false" ht="18" hidden="false" customHeight="true" outlineLevel="0" collapsed="false">
      <c r="A26" s="5" t="s">
        <v>12</v>
      </c>
      <c r="B26" s="6" t="s">
        <v>82</v>
      </c>
      <c r="C26" s="5" t="s">
        <v>83</v>
      </c>
      <c r="D26" s="5" t="s">
        <v>45</v>
      </c>
      <c r="E26" s="5" t="s">
        <v>46</v>
      </c>
      <c r="F26" s="5" t="s">
        <v>104</v>
      </c>
      <c r="G26" s="5" t="s">
        <v>105</v>
      </c>
      <c r="H26" s="5"/>
      <c r="I26" s="5"/>
      <c r="J26" s="5" t="s">
        <v>106</v>
      </c>
    </row>
    <row r="27" customFormat="false" ht="18" hidden="false" customHeight="true" outlineLevel="0" collapsed="false">
      <c r="A27" s="7" t="s">
        <v>12</v>
      </c>
      <c r="B27" s="8" t="s">
        <v>82</v>
      </c>
      <c r="C27" s="7" t="s">
        <v>83</v>
      </c>
      <c r="D27" s="7" t="s">
        <v>49</v>
      </c>
      <c r="E27" s="8" t="s">
        <v>50</v>
      </c>
      <c r="F27" s="7" t="s">
        <v>107</v>
      </c>
      <c r="G27" s="7" t="s">
        <v>108</v>
      </c>
      <c r="H27" s="7"/>
      <c r="I27" s="7"/>
      <c r="J27" s="7" t="s">
        <v>100</v>
      </c>
    </row>
    <row r="28" customFormat="false" ht="18" hidden="false" customHeight="true" outlineLevel="0" collapsed="false">
      <c r="A28" s="5" t="s">
        <v>12</v>
      </c>
      <c r="B28" s="6" t="s">
        <v>82</v>
      </c>
      <c r="C28" s="5" t="s">
        <v>83</v>
      </c>
      <c r="D28" s="5" t="s">
        <v>54</v>
      </c>
      <c r="E28" s="6" t="s">
        <v>55</v>
      </c>
      <c r="F28" s="5" t="s">
        <v>109</v>
      </c>
      <c r="G28" s="5" t="s">
        <v>110</v>
      </c>
      <c r="H28" s="5"/>
      <c r="I28" s="5"/>
      <c r="J28" s="5" t="s">
        <v>86</v>
      </c>
    </row>
    <row r="29" customFormat="false" ht="18" hidden="false" customHeight="true" outlineLevel="0" collapsed="false">
      <c r="A29" s="7" t="s">
        <v>12</v>
      </c>
      <c r="B29" s="8" t="s">
        <v>82</v>
      </c>
      <c r="C29" s="7" t="s">
        <v>83</v>
      </c>
      <c r="D29" s="7" t="s">
        <v>58</v>
      </c>
      <c r="E29" s="8" t="s">
        <v>59</v>
      </c>
      <c r="F29" s="7" t="s">
        <v>111</v>
      </c>
      <c r="G29" s="7" t="s">
        <v>112</v>
      </c>
      <c r="H29" s="7"/>
      <c r="I29" s="7"/>
      <c r="J29" s="7" t="s">
        <v>113</v>
      </c>
    </row>
    <row r="30" customFormat="false" ht="18" hidden="false" customHeight="true" outlineLevel="0" collapsed="false">
      <c r="A30" s="5" t="s">
        <v>12</v>
      </c>
      <c r="B30" s="6" t="s">
        <v>82</v>
      </c>
      <c r="C30" s="5" t="s">
        <v>83</v>
      </c>
      <c r="D30" s="5" t="s">
        <v>63</v>
      </c>
      <c r="E30" s="6" t="s">
        <v>64</v>
      </c>
      <c r="F30" s="5" t="s">
        <v>114</v>
      </c>
      <c r="G30" s="5" t="s">
        <v>115</v>
      </c>
      <c r="H30" s="5"/>
      <c r="I30" s="5"/>
      <c r="J30" s="5" t="s">
        <v>100</v>
      </c>
    </row>
    <row r="31" customFormat="false" ht="18" hidden="false" customHeight="true" outlineLevel="0" collapsed="false">
      <c r="A31" s="7" t="s">
        <v>12</v>
      </c>
      <c r="B31" s="8" t="s">
        <v>82</v>
      </c>
      <c r="C31" s="7" t="s">
        <v>83</v>
      </c>
      <c r="D31" s="7" t="s">
        <v>68</v>
      </c>
      <c r="E31" s="8" t="s">
        <v>69</v>
      </c>
      <c r="F31" s="7" t="s">
        <v>116</v>
      </c>
      <c r="G31" s="7" t="s">
        <v>117</v>
      </c>
      <c r="H31" s="7"/>
      <c r="I31" s="7"/>
      <c r="J31" s="7" t="s">
        <v>100</v>
      </c>
    </row>
    <row r="32" customFormat="false" ht="18" hidden="false" customHeight="true" outlineLevel="0" collapsed="false">
      <c r="A32" s="5" t="s">
        <v>12</v>
      </c>
      <c r="B32" s="6" t="s">
        <v>82</v>
      </c>
      <c r="C32" s="5" t="s">
        <v>83</v>
      </c>
      <c r="D32" s="5" t="s">
        <v>73</v>
      </c>
      <c r="E32" s="6" t="s">
        <v>74</v>
      </c>
      <c r="F32" s="5" t="s">
        <v>118</v>
      </c>
      <c r="G32" s="5" t="s">
        <v>119</v>
      </c>
      <c r="H32" s="5"/>
      <c r="I32" s="5"/>
      <c r="J32" s="5" t="s">
        <v>120</v>
      </c>
    </row>
    <row r="33" customFormat="false" ht="18" hidden="false" customHeight="true" outlineLevel="0" collapsed="false">
      <c r="A33" s="9" t="s">
        <v>12</v>
      </c>
      <c r="B33" s="10" t="s">
        <v>82</v>
      </c>
      <c r="C33" s="9" t="s">
        <v>121</v>
      </c>
      <c r="D33" s="10" t="s">
        <v>79</v>
      </c>
      <c r="E33" s="10" t="s">
        <v>80</v>
      </c>
      <c r="F33" s="9"/>
      <c r="G33" s="9"/>
      <c r="H33" s="9"/>
      <c r="I33" s="9"/>
      <c r="J33" s="10" t="s">
        <v>81</v>
      </c>
    </row>
    <row r="34" customFormat="false" ht="18" hidden="false" customHeight="true" outlineLevel="0" collapsed="false">
      <c r="A34" s="5" t="s">
        <v>12</v>
      </c>
      <c r="B34" s="6" t="s">
        <v>82</v>
      </c>
      <c r="C34" s="5" t="s">
        <v>122</v>
      </c>
      <c r="D34" s="5" t="s">
        <v>14</v>
      </c>
      <c r="E34" s="6" t="s">
        <v>15</v>
      </c>
      <c r="F34" s="5" t="s">
        <v>123</v>
      </c>
      <c r="G34" s="5" t="s">
        <v>124</v>
      </c>
      <c r="H34" s="5"/>
      <c r="I34" s="5"/>
      <c r="J34" s="5" t="s">
        <v>125</v>
      </c>
    </row>
    <row r="35" customFormat="false" ht="18" hidden="false" customHeight="true" outlineLevel="0" collapsed="false">
      <c r="A35" s="7" t="s">
        <v>12</v>
      </c>
      <c r="B35" s="8" t="s">
        <v>82</v>
      </c>
      <c r="C35" s="7" t="s">
        <v>122</v>
      </c>
      <c r="D35" s="7" t="s">
        <v>18</v>
      </c>
      <c r="E35" s="8" t="s">
        <v>19</v>
      </c>
      <c r="F35" s="7" t="s">
        <v>126</v>
      </c>
      <c r="G35" s="7" t="s">
        <v>127</v>
      </c>
      <c r="H35" s="7"/>
      <c r="I35" s="7"/>
      <c r="J35" s="7" t="s">
        <v>86</v>
      </c>
    </row>
    <row r="36" customFormat="false" ht="18" hidden="false" customHeight="true" outlineLevel="0" collapsed="false">
      <c r="A36" s="5" t="s">
        <v>12</v>
      </c>
      <c r="B36" s="6" t="s">
        <v>82</v>
      </c>
      <c r="C36" s="5" t="s">
        <v>122</v>
      </c>
      <c r="D36" s="5" t="s">
        <v>23</v>
      </c>
      <c r="E36" s="6" t="s">
        <v>24</v>
      </c>
      <c r="F36" s="5" t="s">
        <v>128</v>
      </c>
      <c r="G36" s="5" t="s">
        <v>129</v>
      </c>
      <c r="H36" s="5"/>
      <c r="I36" s="5"/>
      <c r="J36" s="5" t="s">
        <v>130</v>
      </c>
    </row>
    <row r="37" customFormat="false" ht="18" hidden="false" customHeight="true" outlineLevel="0" collapsed="false">
      <c r="A37" s="7" t="s">
        <v>12</v>
      </c>
      <c r="B37" s="8" t="s">
        <v>82</v>
      </c>
      <c r="C37" s="7" t="s">
        <v>122</v>
      </c>
      <c r="D37" s="7" t="s">
        <v>27</v>
      </c>
      <c r="E37" s="8" t="s">
        <v>28</v>
      </c>
      <c r="F37" s="7" t="s">
        <v>131</v>
      </c>
      <c r="G37" s="7" t="s">
        <v>132</v>
      </c>
      <c r="H37" s="7"/>
      <c r="I37" s="7"/>
      <c r="J37" s="7" t="s">
        <v>133</v>
      </c>
    </row>
    <row r="38" customFormat="false" ht="18" hidden="false" customHeight="true" outlineLevel="0" collapsed="false">
      <c r="A38" s="5" t="s">
        <v>12</v>
      </c>
      <c r="B38" s="6" t="s">
        <v>82</v>
      </c>
      <c r="C38" s="5" t="s">
        <v>122</v>
      </c>
      <c r="D38" s="5" t="s">
        <v>32</v>
      </c>
      <c r="E38" s="5" t="s">
        <v>33</v>
      </c>
      <c r="F38" s="5" t="s">
        <v>134</v>
      </c>
      <c r="G38" s="5" t="s">
        <v>135</v>
      </c>
      <c r="H38" s="5"/>
      <c r="I38" s="5"/>
      <c r="J38" s="5" t="s">
        <v>136</v>
      </c>
    </row>
    <row r="39" customFormat="false" ht="18" hidden="false" customHeight="true" outlineLevel="0" collapsed="false">
      <c r="A39" s="7" t="s">
        <v>12</v>
      </c>
      <c r="B39" s="8" t="s">
        <v>82</v>
      </c>
      <c r="C39" s="7" t="s">
        <v>122</v>
      </c>
      <c r="D39" s="7" t="s">
        <v>37</v>
      </c>
      <c r="E39" s="8" t="s">
        <v>38</v>
      </c>
      <c r="F39" s="7" t="s">
        <v>137</v>
      </c>
      <c r="G39" s="7" t="s">
        <v>138</v>
      </c>
      <c r="H39" s="7"/>
      <c r="I39" s="7"/>
      <c r="J39" s="7" t="s">
        <v>139</v>
      </c>
    </row>
    <row r="40" customFormat="false" ht="18" hidden="false" customHeight="true" outlineLevel="0" collapsed="false">
      <c r="A40" s="5" t="s">
        <v>12</v>
      </c>
      <c r="B40" s="6" t="s">
        <v>82</v>
      </c>
      <c r="C40" s="5" t="s">
        <v>122</v>
      </c>
      <c r="D40" s="5" t="s">
        <v>40</v>
      </c>
      <c r="E40" s="5" t="s">
        <v>41</v>
      </c>
      <c r="F40" s="5" t="s">
        <v>140</v>
      </c>
      <c r="G40" s="5" t="s">
        <v>141</v>
      </c>
      <c r="H40" s="5"/>
      <c r="I40" s="5"/>
      <c r="J40" s="5" t="s">
        <v>142</v>
      </c>
    </row>
    <row r="41" customFormat="false" ht="18" hidden="false" customHeight="true" outlineLevel="0" collapsed="false">
      <c r="A41" s="7" t="s">
        <v>12</v>
      </c>
      <c r="B41" s="8" t="s">
        <v>82</v>
      </c>
      <c r="C41" s="7" t="s">
        <v>122</v>
      </c>
      <c r="D41" s="7" t="s">
        <v>45</v>
      </c>
      <c r="E41" s="7" t="s">
        <v>46</v>
      </c>
      <c r="F41" s="7" t="s">
        <v>143</v>
      </c>
      <c r="G41" s="7" t="s">
        <v>144</v>
      </c>
      <c r="H41" s="7"/>
      <c r="I41" s="7"/>
      <c r="J41" s="7" t="s">
        <v>145</v>
      </c>
    </row>
    <row r="42" customFormat="false" ht="18" hidden="false" customHeight="true" outlineLevel="0" collapsed="false">
      <c r="A42" s="5" t="s">
        <v>12</v>
      </c>
      <c r="B42" s="6" t="s">
        <v>82</v>
      </c>
      <c r="C42" s="5" t="s">
        <v>122</v>
      </c>
      <c r="D42" s="5" t="s">
        <v>49</v>
      </c>
      <c r="E42" s="6" t="s">
        <v>50</v>
      </c>
      <c r="F42" s="5" t="s">
        <v>146</v>
      </c>
      <c r="G42" s="5" t="s">
        <v>147</v>
      </c>
      <c r="H42" s="5"/>
      <c r="I42" s="5"/>
      <c r="J42" s="5" t="s">
        <v>86</v>
      </c>
    </row>
    <row r="43" customFormat="false" ht="18" hidden="false" customHeight="true" outlineLevel="0" collapsed="false">
      <c r="A43" s="7" t="s">
        <v>12</v>
      </c>
      <c r="B43" s="8" t="s">
        <v>82</v>
      </c>
      <c r="C43" s="7" t="s">
        <v>122</v>
      </c>
      <c r="D43" s="7" t="s">
        <v>54</v>
      </c>
      <c r="E43" s="8" t="s">
        <v>55</v>
      </c>
      <c r="F43" s="7" t="s">
        <v>148</v>
      </c>
      <c r="G43" s="7" t="s">
        <v>149</v>
      </c>
      <c r="H43" s="7"/>
      <c r="I43" s="7"/>
      <c r="J43" s="7" t="s">
        <v>100</v>
      </c>
    </row>
    <row r="44" customFormat="false" ht="18" hidden="false" customHeight="true" outlineLevel="0" collapsed="false">
      <c r="A44" s="5" t="s">
        <v>12</v>
      </c>
      <c r="B44" s="6" t="s">
        <v>82</v>
      </c>
      <c r="C44" s="5" t="s">
        <v>122</v>
      </c>
      <c r="D44" s="5" t="s">
        <v>58</v>
      </c>
      <c r="E44" s="6" t="s">
        <v>59</v>
      </c>
      <c r="F44" s="5" t="s">
        <v>150</v>
      </c>
      <c r="G44" s="5" t="s">
        <v>151</v>
      </c>
      <c r="H44" s="5"/>
      <c r="I44" s="5"/>
      <c r="J44" s="5" t="s">
        <v>152</v>
      </c>
    </row>
    <row r="45" customFormat="false" ht="18" hidden="false" customHeight="true" outlineLevel="0" collapsed="false">
      <c r="A45" s="7" t="s">
        <v>12</v>
      </c>
      <c r="B45" s="8" t="s">
        <v>82</v>
      </c>
      <c r="C45" s="7" t="s">
        <v>122</v>
      </c>
      <c r="D45" s="7" t="s">
        <v>63</v>
      </c>
      <c r="E45" s="8" t="s">
        <v>64</v>
      </c>
      <c r="F45" s="7" t="s">
        <v>153</v>
      </c>
      <c r="G45" s="7" t="s">
        <v>154</v>
      </c>
      <c r="H45" s="7"/>
      <c r="I45" s="7"/>
      <c r="J45" s="7" t="s">
        <v>89</v>
      </c>
    </row>
    <row r="46" customFormat="false" ht="18" hidden="false" customHeight="true" outlineLevel="0" collapsed="false">
      <c r="A46" s="5" t="s">
        <v>12</v>
      </c>
      <c r="B46" s="6" t="s">
        <v>82</v>
      </c>
      <c r="C46" s="5" t="s">
        <v>122</v>
      </c>
      <c r="D46" s="5" t="s">
        <v>68</v>
      </c>
      <c r="E46" s="6" t="s">
        <v>69</v>
      </c>
      <c r="F46" s="5" t="s">
        <v>155</v>
      </c>
      <c r="G46" s="5" t="s">
        <v>156</v>
      </c>
      <c r="H46" s="5"/>
      <c r="I46" s="5"/>
      <c r="J46" s="5" t="s">
        <v>100</v>
      </c>
    </row>
    <row r="47" customFormat="false" ht="18" hidden="false" customHeight="true" outlineLevel="0" collapsed="false">
      <c r="A47" s="7" t="s">
        <v>12</v>
      </c>
      <c r="B47" s="8" t="s">
        <v>82</v>
      </c>
      <c r="C47" s="7" t="s">
        <v>122</v>
      </c>
      <c r="D47" s="7" t="s">
        <v>73</v>
      </c>
      <c r="E47" s="8" t="s">
        <v>74</v>
      </c>
      <c r="F47" s="7" t="s">
        <v>157</v>
      </c>
      <c r="G47" s="7" t="s">
        <v>158</v>
      </c>
      <c r="H47" s="7"/>
      <c r="I47" s="7"/>
      <c r="J47" s="7" t="s">
        <v>159</v>
      </c>
    </row>
    <row r="48" customFormat="false" ht="18" hidden="false" customHeight="true" outlineLevel="0" collapsed="false">
      <c r="A48" s="9" t="s">
        <v>12</v>
      </c>
      <c r="B48" s="10" t="s">
        <v>82</v>
      </c>
      <c r="C48" s="9" t="s">
        <v>160</v>
      </c>
      <c r="D48" s="10" t="s">
        <v>79</v>
      </c>
      <c r="E48" s="10" t="s">
        <v>80</v>
      </c>
      <c r="F48" s="9"/>
      <c r="G48" s="9"/>
      <c r="H48" s="9"/>
      <c r="I48" s="9"/>
      <c r="J48" s="10" t="s">
        <v>81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0"/>
    <col collapsed="false" customWidth="true" hidden="false" outlineLevel="0" max="10" min="8" style="1" width="12"/>
  </cols>
  <sheetData>
    <row r="1" customFormat="false" ht="27.75" hidden="false" customHeight="true" outlineLevel="0" collapsed="false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11"/>
      <c r="B2" s="12" t="s">
        <v>162</v>
      </c>
      <c r="C2" s="12"/>
      <c r="D2" s="12"/>
      <c r="E2" s="12" t="s">
        <v>163</v>
      </c>
      <c r="F2" s="12"/>
      <c r="G2" s="12"/>
      <c r="H2" s="13" t="s">
        <v>164</v>
      </c>
      <c r="I2" s="13" t="s">
        <v>165</v>
      </c>
      <c r="J2" s="13" t="s">
        <v>166</v>
      </c>
    </row>
    <row r="3" customFormat="false" ht="21.75" hidden="false" customHeight="true" outlineLevel="0" collapsed="false">
      <c r="A3" s="11"/>
      <c r="B3" s="14" t="s">
        <v>167</v>
      </c>
      <c r="C3" s="14" t="s">
        <v>168</v>
      </c>
      <c r="D3" s="14" t="s">
        <v>169</v>
      </c>
      <c r="E3" s="14" t="s">
        <v>167</v>
      </c>
      <c r="F3" s="14" t="s">
        <v>168</v>
      </c>
      <c r="G3" s="14" t="s">
        <v>169</v>
      </c>
      <c r="H3" s="13"/>
      <c r="I3" s="13"/>
      <c r="J3" s="13"/>
    </row>
    <row r="4" customFormat="false" ht="18" hidden="false" customHeight="true" outlineLevel="0" collapsed="false">
      <c r="A4" s="15" t="s">
        <v>15</v>
      </c>
      <c r="B4" s="5" t="n">
        <v>11</v>
      </c>
      <c r="C4" s="5" t="n">
        <v>46</v>
      </c>
      <c r="D4" s="5" t="n">
        <v>38</v>
      </c>
      <c r="E4" s="16" t="n">
        <v>24</v>
      </c>
      <c r="F4" s="16" t="n">
        <v>76</v>
      </c>
      <c r="G4" s="16" t="n">
        <v>37</v>
      </c>
      <c r="H4" s="17" t="n">
        <f aca="false">IFERROR(AVERAGEIF(B4:D4,"&lt;&gt;"),"")</f>
        <v>31.6666666666667</v>
      </c>
      <c r="I4" s="17" t="n">
        <f aca="false">IFERROR(AVERAGEIF(E4:G4,"&lt;&gt;구조적결측"),"")</f>
        <v>45.6666666666667</v>
      </c>
      <c r="J4" s="18" t="n">
        <f aca="false">IFERROR(AVERAGEIF(B4:G4,"&lt;&gt;구조적결측"),"")</f>
        <v>38.6666666666667</v>
      </c>
    </row>
    <row r="5" customFormat="false" ht="18" hidden="false" customHeight="true" outlineLevel="0" collapsed="false">
      <c r="A5" s="15" t="s">
        <v>19</v>
      </c>
      <c r="B5" s="7" t="n">
        <v>8</v>
      </c>
      <c r="C5" s="7" t="n">
        <v>6</v>
      </c>
      <c r="D5" s="7" t="n">
        <v>15</v>
      </c>
      <c r="E5" s="19" t="n">
        <v>9</v>
      </c>
      <c r="F5" s="19" t="n">
        <v>13</v>
      </c>
      <c r="G5" s="19" t="n">
        <v>11</v>
      </c>
      <c r="H5" s="17" t="n">
        <f aca="false">IFERROR(AVERAGEIF(B5:D5,"&lt;&gt;"),"")</f>
        <v>9.66666666666667</v>
      </c>
      <c r="I5" s="17" t="n">
        <f aca="false">IFERROR(AVERAGEIF(E5:G5,"&lt;&gt;구조적결측"),"")</f>
        <v>11</v>
      </c>
      <c r="J5" s="18" t="n">
        <f aca="false">IFERROR(AVERAGEIF(B5:G5,"&lt;&gt;구조적결측"),"")</f>
        <v>10.3333333333333</v>
      </c>
    </row>
    <row r="6" customFormat="false" ht="18" hidden="false" customHeight="true" outlineLevel="0" collapsed="false">
      <c r="A6" s="15" t="s">
        <v>24</v>
      </c>
      <c r="B6" s="5" t="n">
        <v>8</v>
      </c>
      <c r="C6" s="5" t="n">
        <v>10</v>
      </c>
      <c r="D6" s="5" t="n">
        <v>9</v>
      </c>
      <c r="E6" s="16" t="n">
        <v>15</v>
      </c>
      <c r="F6" s="16" t="n">
        <v>23</v>
      </c>
      <c r="G6" s="16" t="n">
        <v>22</v>
      </c>
      <c r="H6" s="17" t="n">
        <f aca="false">IFERROR(AVERAGEIF(B6:D6,"&lt;&gt;"),"")</f>
        <v>9</v>
      </c>
      <c r="I6" s="17" t="n">
        <f aca="false">IFERROR(AVERAGEIF(E6:G6,"&lt;&gt;구조적결측"),"")</f>
        <v>20</v>
      </c>
      <c r="J6" s="18" t="n">
        <f aca="false">IFERROR(AVERAGEIF(B6:G6,"&lt;&gt;구조적결측"),"")</f>
        <v>14.5</v>
      </c>
    </row>
    <row r="7" customFormat="false" ht="18" hidden="false" customHeight="true" outlineLevel="0" collapsed="false">
      <c r="A7" s="15" t="s">
        <v>28</v>
      </c>
      <c r="B7" s="7" t="n">
        <v>17</v>
      </c>
      <c r="C7" s="7" t="n">
        <v>19</v>
      </c>
      <c r="D7" s="7" t="n">
        <v>43</v>
      </c>
      <c r="E7" s="19" t="n">
        <v>8</v>
      </c>
      <c r="F7" s="19" t="n">
        <v>21</v>
      </c>
      <c r="G7" s="19" t="n">
        <v>18</v>
      </c>
      <c r="H7" s="17" t="n">
        <f aca="false">IFERROR(AVERAGEIF(B7:D7,"&lt;&gt;"),"")</f>
        <v>26.3333333333333</v>
      </c>
      <c r="I7" s="17" t="n">
        <f aca="false">IFERROR(AVERAGEIF(E7:G7,"&lt;&gt;구조적결측"),"")</f>
        <v>15.6666666666667</v>
      </c>
      <c r="J7" s="18" t="n">
        <f aca="false">IFERROR(AVERAGEIF(B7:G7,"&lt;&gt;구조적결측"),"")</f>
        <v>21</v>
      </c>
    </row>
    <row r="8" customFormat="false" ht="18" hidden="false" customHeight="true" outlineLevel="0" collapsed="false">
      <c r="A8" s="20" t="s">
        <v>170</v>
      </c>
      <c r="B8" s="5" t="n">
        <v>28</v>
      </c>
      <c r="C8" s="5" t="n">
        <v>9</v>
      </c>
      <c r="D8" s="5" t="n">
        <v>21</v>
      </c>
      <c r="E8" s="16" t="n">
        <v>11</v>
      </c>
      <c r="F8" s="16" t="n">
        <v>18</v>
      </c>
      <c r="G8" s="16" t="n">
        <v>15</v>
      </c>
      <c r="H8" s="17" t="n">
        <f aca="false">IFERROR(AVERAGEIF(B8:D8,"&lt;&gt;"),"")</f>
        <v>19.3333333333333</v>
      </c>
      <c r="I8" s="17" t="n">
        <f aca="false">IFERROR(AVERAGEIF(E8:G8,"&lt;&gt;구조적결측"),"")</f>
        <v>14.6666666666667</v>
      </c>
      <c r="J8" s="18" t="n">
        <f aca="false">IFERROR(AVERAGEIF(B8:G8,"&lt;&gt;구조적결측"),"")</f>
        <v>17</v>
      </c>
    </row>
    <row r="9" customFormat="false" ht="18" hidden="false" customHeight="true" outlineLevel="0" collapsed="false">
      <c r="A9" s="15" t="s">
        <v>38</v>
      </c>
      <c r="B9" s="7"/>
      <c r="C9" s="7" t="n">
        <v>2</v>
      </c>
      <c r="D9" s="7" t="n">
        <v>14</v>
      </c>
      <c r="E9" s="19" t="n">
        <v>1</v>
      </c>
      <c r="F9" s="19" t="n">
        <v>1</v>
      </c>
      <c r="G9" s="19" t="n">
        <v>2</v>
      </c>
      <c r="H9" s="17" t="n">
        <f aca="false">IFERROR(AVERAGEIF(B9:D9,"&lt;&gt;"),"")</f>
        <v>8</v>
      </c>
      <c r="I9" s="17" t="n">
        <f aca="false">IFERROR(AVERAGEIF(E9:G9,"&lt;&gt;구조적결측"),"")</f>
        <v>1.33333333333333</v>
      </c>
      <c r="J9" s="18" t="n">
        <f aca="false">IFERROR(AVERAGEIF(B9:G9,"&lt;&gt;구조적결측"),"")</f>
        <v>4</v>
      </c>
    </row>
    <row r="10" customFormat="false" ht="18" hidden="false" customHeight="true" outlineLevel="0" collapsed="false">
      <c r="A10" s="20" t="s">
        <v>171</v>
      </c>
      <c r="B10" s="5" t="n">
        <v>51</v>
      </c>
      <c r="C10" s="5" t="n">
        <v>91</v>
      </c>
      <c r="D10" s="5" t="n">
        <v>27</v>
      </c>
      <c r="E10" s="16" t="n">
        <v>62</v>
      </c>
      <c r="F10" s="16" t="n">
        <v>53</v>
      </c>
      <c r="G10" s="16" t="n">
        <v>57</v>
      </c>
      <c r="H10" s="17" t="n">
        <f aca="false">IFERROR(AVERAGEIF(B10:D10,"&lt;&gt;"),"")</f>
        <v>56.3333333333333</v>
      </c>
      <c r="I10" s="17" t="n">
        <f aca="false">IFERROR(AVERAGEIF(E10:G10,"&lt;&gt;구조적결측"),"")</f>
        <v>57.3333333333333</v>
      </c>
      <c r="J10" s="18" t="n">
        <f aca="false">IFERROR(AVERAGEIF(B10:G10,"&lt;&gt;구조적결측"),"")</f>
        <v>56.8333333333333</v>
      </c>
    </row>
    <row r="11" customFormat="false" ht="18" hidden="false" customHeight="true" outlineLevel="0" collapsed="false">
      <c r="A11" s="20" t="s">
        <v>172</v>
      </c>
      <c r="B11" s="7" t="n">
        <v>7</v>
      </c>
      <c r="C11" s="7" t="n">
        <v>13</v>
      </c>
      <c r="D11" s="7" t="n">
        <v>13</v>
      </c>
      <c r="E11" s="19" t="n">
        <v>9</v>
      </c>
      <c r="F11" s="21" t="s">
        <v>173</v>
      </c>
      <c r="G11" s="16" t="n">
        <v>13</v>
      </c>
      <c r="H11" s="17" t="n">
        <f aca="false">IFERROR(AVERAGEIF(B11:D11,"&lt;&gt;"),"")</f>
        <v>11</v>
      </c>
      <c r="I11" s="17" t="n">
        <f aca="false">IFERROR(AVERAGEIF(E11:G11,"&lt;&gt;구조적결측"),"")</f>
        <v>11</v>
      </c>
      <c r="J11" s="18" t="n">
        <f aca="false">IFERROR(AVERAGEIF(B11:G11,"&lt;&gt;구조적결측"),"")</f>
        <v>11</v>
      </c>
    </row>
    <row r="12" customFormat="false" ht="18" hidden="false" customHeight="true" outlineLevel="0" collapsed="false">
      <c r="A12" s="15" t="s">
        <v>50</v>
      </c>
      <c r="B12" s="5" t="n">
        <v>7</v>
      </c>
      <c r="C12" s="5" t="n">
        <v>7</v>
      </c>
      <c r="D12" s="5" t="n">
        <v>11</v>
      </c>
      <c r="E12" s="16" t="n">
        <v>9</v>
      </c>
      <c r="F12" s="16" t="n">
        <v>25</v>
      </c>
      <c r="G12" s="16" t="n">
        <v>13</v>
      </c>
      <c r="H12" s="17" t="n">
        <f aca="false">IFERROR(AVERAGEIF(B12:D12,"&lt;&gt;"),"")</f>
        <v>8.33333333333333</v>
      </c>
      <c r="I12" s="17" t="n">
        <f aca="false">IFERROR(AVERAGEIF(E12:G12,"&lt;&gt;구조적결측"),"")</f>
        <v>15.6666666666667</v>
      </c>
      <c r="J12" s="18" t="n">
        <f aca="false">IFERROR(AVERAGEIF(B12:G12,"&lt;&gt;구조적결측"),"")</f>
        <v>12</v>
      </c>
    </row>
    <row r="13" customFormat="false" ht="18" hidden="false" customHeight="true" outlineLevel="0" collapsed="false">
      <c r="A13" s="15" t="s">
        <v>55</v>
      </c>
      <c r="B13" s="7" t="n">
        <v>6</v>
      </c>
      <c r="C13" s="7" t="n">
        <v>10</v>
      </c>
      <c r="D13" s="7" t="n">
        <v>2</v>
      </c>
      <c r="E13" s="19" t="n">
        <v>5</v>
      </c>
      <c r="F13" s="19" t="n">
        <v>12</v>
      </c>
      <c r="G13" s="19" t="n">
        <v>9</v>
      </c>
      <c r="H13" s="17" t="n">
        <f aca="false">IFERROR(AVERAGEIF(B13:D13,"&lt;&gt;"),"")</f>
        <v>6</v>
      </c>
      <c r="I13" s="17" t="n">
        <f aca="false">IFERROR(AVERAGEIF(E13:G13,"&lt;&gt;구조적결측"),"")</f>
        <v>8.66666666666667</v>
      </c>
      <c r="J13" s="18" t="n">
        <f aca="false">IFERROR(AVERAGEIF(B13:G13,"&lt;&gt;구조적결측"),"")</f>
        <v>7.33333333333333</v>
      </c>
    </row>
    <row r="14" customFormat="false" ht="18" hidden="false" customHeight="true" outlineLevel="0" collapsed="false">
      <c r="A14" s="15" t="s">
        <v>59</v>
      </c>
      <c r="B14" s="5" t="n">
        <v>10</v>
      </c>
      <c r="C14" s="5" t="n">
        <v>19</v>
      </c>
      <c r="D14" s="5" t="n">
        <v>31</v>
      </c>
      <c r="E14" s="16" t="n">
        <v>27</v>
      </c>
      <c r="F14" s="16" t="n">
        <v>18</v>
      </c>
      <c r="G14" s="16" t="n">
        <v>23</v>
      </c>
      <c r="H14" s="17" t="n">
        <f aca="false">IFERROR(AVERAGEIF(B14:D14,"&lt;&gt;"),"")</f>
        <v>20</v>
      </c>
      <c r="I14" s="17" t="n">
        <f aca="false">IFERROR(AVERAGEIF(E14:G14,"&lt;&gt;구조적결측"),"")</f>
        <v>22.6666666666667</v>
      </c>
      <c r="J14" s="18" t="n">
        <f aca="false">IFERROR(AVERAGEIF(B14:G14,"&lt;&gt;구조적결측"),"")</f>
        <v>21.3333333333333</v>
      </c>
    </row>
    <row r="15" customFormat="false" ht="18" hidden="false" customHeight="true" outlineLevel="0" collapsed="false">
      <c r="A15" s="15" t="s">
        <v>64</v>
      </c>
      <c r="B15" s="7" t="n">
        <v>6</v>
      </c>
      <c r="C15" s="7" t="n">
        <v>4</v>
      </c>
      <c r="D15" s="7" t="n">
        <v>6</v>
      </c>
      <c r="E15" s="19" t="n">
        <v>8</v>
      </c>
      <c r="F15" s="19" t="n">
        <v>9</v>
      </c>
      <c r="G15" s="19" t="n">
        <v>3</v>
      </c>
      <c r="H15" s="17" t="n">
        <f aca="false">IFERROR(AVERAGEIF(B15:D15,"&lt;&gt;"),"")</f>
        <v>5.33333333333333</v>
      </c>
      <c r="I15" s="17" t="n">
        <f aca="false">IFERROR(AVERAGEIF(E15:G15,"&lt;&gt;구조적결측"),"")</f>
        <v>6.66666666666667</v>
      </c>
      <c r="J15" s="18" t="n">
        <f aca="false">IFERROR(AVERAGEIF(B15:G15,"&lt;&gt;구조적결측"),"")</f>
        <v>6</v>
      </c>
    </row>
    <row r="16" customFormat="false" ht="18" hidden="false" customHeight="true" outlineLevel="0" collapsed="false">
      <c r="A16" s="15" t="s">
        <v>69</v>
      </c>
      <c r="B16" s="5" t="n">
        <v>8</v>
      </c>
      <c r="C16" s="5" t="n">
        <v>6</v>
      </c>
      <c r="D16" s="5" t="n">
        <v>6</v>
      </c>
      <c r="E16" s="16" t="n">
        <v>11</v>
      </c>
      <c r="F16" s="16" t="n">
        <v>13</v>
      </c>
      <c r="G16" s="16" t="n">
        <v>16</v>
      </c>
      <c r="H16" s="17" t="n">
        <f aca="false">IFERROR(AVERAGEIF(B16:D16,"&lt;&gt;"),"")</f>
        <v>6.66666666666667</v>
      </c>
      <c r="I16" s="17" t="n">
        <f aca="false">IFERROR(AVERAGEIF(E16:G16,"&lt;&gt;구조적결측"),"")</f>
        <v>13.3333333333333</v>
      </c>
      <c r="J16" s="18" t="n">
        <f aca="false">IFERROR(AVERAGEIF(B16:G16,"&lt;&gt;구조적결측"),"")</f>
        <v>10</v>
      </c>
    </row>
    <row r="17" customFormat="false" ht="18" hidden="false" customHeight="true" outlineLevel="0" collapsed="false">
      <c r="A17" s="15" t="s">
        <v>74</v>
      </c>
      <c r="B17" s="7" t="n">
        <v>10</v>
      </c>
      <c r="C17" s="7" t="n">
        <v>17</v>
      </c>
      <c r="D17" s="7" t="n">
        <v>24</v>
      </c>
      <c r="E17" s="19" t="n">
        <v>9</v>
      </c>
      <c r="F17" s="19" t="n">
        <v>1</v>
      </c>
      <c r="G17" s="19" t="n">
        <v>14</v>
      </c>
      <c r="H17" s="17" t="n">
        <f aca="false">IFERROR(AVERAGEIF(B17:D17,"&lt;&gt;"),"")</f>
        <v>17</v>
      </c>
      <c r="I17" s="17" t="n">
        <f aca="false">IFERROR(AVERAGEIF(E17:G17,"&lt;&gt;구조적결측"),"")</f>
        <v>8</v>
      </c>
      <c r="J17" s="18" t="n">
        <f aca="false">IFERROR(AVERAGEIF(B17:G17,"&lt;&gt;구조적결측"),"")</f>
        <v>12.5</v>
      </c>
    </row>
    <row r="18" customFormat="false" ht="19.5" hidden="false" customHeight="true" outlineLevel="0" collapsed="false">
      <c r="A18" s="22" t="s">
        <v>174</v>
      </c>
      <c r="B18" s="17" t="n">
        <f aca="false">IFERROR(AVERAGEIF(B4:B17,"&lt;&gt;구조적결측"),"")</f>
        <v>13.6153846153846</v>
      </c>
      <c r="C18" s="17" t="n">
        <f aca="false">IFERROR(AVERAGEIF(C4:C17,"&lt;&gt;구조적결측"),"")</f>
        <v>18.5</v>
      </c>
      <c r="D18" s="17" t="n">
        <f aca="false">IFERROR(AVERAGEIF(D4:D17,"&lt;&gt;구조적결측"),"")</f>
        <v>18.5714285714286</v>
      </c>
      <c r="E18" s="17" t="n">
        <f aca="false">IFERROR(AVERAGEIF(E4:E17,"&lt;&gt;구조적결측"),"")</f>
        <v>14.8571428571429</v>
      </c>
      <c r="F18" s="17" t="n">
        <f aca="false">IFERROR(AVERAGEIF(F4:F17,"&lt;&gt;구조적결측"),"")</f>
        <v>21.7692307692308</v>
      </c>
      <c r="G18" s="17" t="n">
        <f aca="false">IFERROR(AVERAGEIF(G4:G17,"&lt;&gt;구조적결측"),"")</f>
        <v>18.0714285714286</v>
      </c>
      <c r="H18" s="17" t="n">
        <f aca="false">IFERROR(AVERAGEIF(H4:H17,"&lt;&gt;구조적결측"),"")</f>
        <v>16.7619047619048</v>
      </c>
      <c r="I18" s="17" t="n">
        <f aca="false">IFERROR(AVERAGEIF(I4:I17,"&lt;&gt;구조적결측"),"")</f>
        <v>17.9761904761905</v>
      </c>
      <c r="J18" s="18" t="n">
        <f aca="false">IFERROR(AVERAGEIF(J4:J17,"&lt;&gt;구조적결측"),"")</f>
        <v>17.3214285714286</v>
      </c>
    </row>
  </sheetData>
  <mergeCells count="7">
    <mergeCell ref="A1:J1"/>
    <mergeCell ref="A2:A3"/>
    <mergeCell ref="B2:D2"/>
    <mergeCell ref="E2:G2"/>
    <mergeCell ref="H2:H3"/>
    <mergeCell ref="I2:I3"/>
    <mergeCell ref="J2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7" min="2" style="1" width="10"/>
    <col collapsed="false" customWidth="true" hidden="false" outlineLevel="0" max="10" min="8" style="1" width="12"/>
  </cols>
  <sheetData>
    <row r="1" customFormat="false" ht="27.75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11"/>
      <c r="B2" s="12" t="s">
        <v>162</v>
      </c>
      <c r="C2" s="12"/>
      <c r="D2" s="12"/>
      <c r="E2" s="12" t="s">
        <v>163</v>
      </c>
      <c r="F2" s="12"/>
      <c r="G2" s="12"/>
      <c r="H2" s="13" t="s">
        <v>164</v>
      </c>
      <c r="I2" s="13" t="s">
        <v>165</v>
      </c>
      <c r="J2" s="13" t="s">
        <v>166</v>
      </c>
    </row>
    <row r="3" customFormat="false" ht="21.75" hidden="false" customHeight="true" outlineLevel="0" collapsed="false">
      <c r="A3" s="11"/>
      <c r="B3" s="14" t="s">
        <v>167</v>
      </c>
      <c r="C3" s="14" t="s">
        <v>168</v>
      </c>
      <c r="D3" s="14" t="s">
        <v>169</v>
      </c>
      <c r="E3" s="14" t="s">
        <v>167</v>
      </c>
      <c r="F3" s="14" t="s">
        <v>168</v>
      </c>
      <c r="G3" s="14" t="s">
        <v>169</v>
      </c>
      <c r="H3" s="13"/>
      <c r="I3" s="13"/>
      <c r="J3" s="13"/>
    </row>
    <row r="4" customFormat="false" ht="18" hidden="false" customHeight="true" outlineLevel="0" collapsed="false">
      <c r="A4" s="23" t="s">
        <v>176</v>
      </c>
      <c r="B4" s="5" t="n">
        <v>50</v>
      </c>
      <c r="C4" s="5" t="n">
        <v>53</v>
      </c>
      <c r="D4" s="5" t="n">
        <v>38</v>
      </c>
      <c r="E4" s="16" t="n">
        <v>57</v>
      </c>
      <c r="F4" s="16" t="n">
        <v>56</v>
      </c>
      <c r="G4" s="16" t="n">
        <v>53</v>
      </c>
      <c r="H4" s="17" t="n">
        <f aca="false">IFERROR(AVERAGEIF(B4:D4,"&lt;&gt;"),"")</f>
        <v>47</v>
      </c>
      <c r="I4" s="17" t="n">
        <f aca="false">IFERROR(AVERAGEIF(E4:G4,"&lt;&gt;구조적결측"),"")</f>
        <v>55.3333333333333</v>
      </c>
      <c r="J4" s="18" t="n">
        <f aca="false">IFERROR(AVERAGEIF(B4:G4,"&lt;&gt;구조적결측"),"")</f>
        <v>51.1666666666667</v>
      </c>
    </row>
    <row r="5" customFormat="false" ht="18" hidden="false" customHeight="true" outlineLevel="0" collapsed="false">
      <c r="A5" s="23" t="s">
        <v>177</v>
      </c>
      <c r="B5" s="7" t="n">
        <v>46</v>
      </c>
      <c r="C5" s="7" t="n">
        <v>48</v>
      </c>
      <c r="D5" s="7" t="n">
        <v>53</v>
      </c>
      <c r="E5" s="19" t="n">
        <v>60</v>
      </c>
      <c r="F5" s="19" t="n">
        <v>44</v>
      </c>
      <c r="G5" s="19" t="n">
        <v>46</v>
      </c>
      <c r="H5" s="17" t="n">
        <f aca="false">IFERROR(AVERAGEIF(B5:D5,"&lt;&gt;"),"")</f>
        <v>49</v>
      </c>
      <c r="I5" s="17" t="n">
        <f aca="false">IFERROR(AVERAGEIF(E5:G5,"&lt;&gt;구조적결측"),"")</f>
        <v>50</v>
      </c>
      <c r="J5" s="18" t="n">
        <f aca="false">IFERROR(AVERAGEIF(B5:G5,"&lt;&gt;구조적결측"),"")</f>
        <v>49.5</v>
      </c>
    </row>
    <row r="6" customFormat="false" ht="18" hidden="false" customHeight="true" outlineLevel="0" collapsed="false">
      <c r="A6" s="23" t="s">
        <v>178</v>
      </c>
      <c r="B6" s="5" t="n">
        <v>71</v>
      </c>
      <c r="C6" s="5" t="n">
        <v>72</v>
      </c>
      <c r="D6" s="5" t="n">
        <v>72</v>
      </c>
      <c r="E6" s="7"/>
      <c r="F6" s="16" t="n">
        <v>72</v>
      </c>
      <c r="G6" s="16" t="n">
        <v>75</v>
      </c>
      <c r="H6" s="17" t="n">
        <f aca="false">IFERROR(AVERAGEIF(B6:D6,"&lt;&gt;"),"")</f>
        <v>71.6666666666667</v>
      </c>
      <c r="I6" s="17" t="n">
        <f aca="false">IFERROR(AVERAGEIF(E6:G6,"&lt;&gt;구조적결측"),"")</f>
        <v>73.5</v>
      </c>
      <c r="J6" s="18" t="n">
        <f aca="false">IFERROR(AVERAGEIF(B6:G6,"&lt;&gt;구조적결측"),"")</f>
        <v>72.4</v>
      </c>
    </row>
    <row r="7" customFormat="false" ht="18" hidden="false" customHeight="true" outlineLevel="0" collapsed="false">
      <c r="A7" s="23" t="s">
        <v>179</v>
      </c>
      <c r="B7" s="7" t="n">
        <v>52</v>
      </c>
      <c r="C7" s="7" t="n">
        <v>51</v>
      </c>
      <c r="D7" s="7" t="n">
        <v>49</v>
      </c>
      <c r="E7" s="16" t="n">
        <v>58</v>
      </c>
      <c r="F7" s="19" t="n">
        <v>49</v>
      </c>
      <c r="G7" s="19" t="n">
        <v>42</v>
      </c>
      <c r="H7" s="17" t="n">
        <f aca="false">IFERROR(AVERAGEIF(B7:D7,"&lt;&gt;"),"")</f>
        <v>50.6666666666667</v>
      </c>
      <c r="I7" s="17" t="n">
        <f aca="false">IFERROR(AVERAGEIF(E7:G7,"&lt;&gt;구조적결측"),"")</f>
        <v>49.6666666666667</v>
      </c>
      <c r="J7" s="18" t="n">
        <f aca="false">IFERROR(AVERAGEIF(B7:G7,"&lt;&gt;구조적결측"),"")</f>
        <v>50.1666666666667</v>
      </c>
    </row>
    <row r="8" customFormat="false" ht="18" hidden="false" customHeight="true" outlineLevel="0" collapsed="false">
      <c r="A8" s="24" t="s">
        <v>180</v>
      </c>
      <c r="B8" s="5"/>
      <c r="C8" s="5" t="n">
        <v>40</v>
      </c>
      <c r="D8" s="5" t="n">
        <v>40</v>
      </c>
      <c r="E8" s="16" t="n">
        <v>19</v>
      </c>
      <c r="F8" s="16" t="n">
        <v>40</v>
      </c>
      <c r="G8" s="16" t="n">
        <v>48</v>
      </c>
      <c r="H8" s="17" t="n">
        <f aca="false">IFERROR(AVERAGEIF(B8:D8,"&lt;&gt;"),"")</f>
        <v>40</v>
      </c>
      <c r="I8" s="17" t="n">
        <f aca="false">IFERROR(AVERAGEIF(E8:G8,"&lt;&gt;구조적결측"),"")</f>
        <v>35.6666666666667</v>
      </c>
      <c r="J8" s="18" t="n">
        <f aca="false">IFERROR(AVERAGEIF(B8:G8,"&lt;&gt;구조적결측"),"")</f>
        <v>37.4</v>
      </c>
    </row>
    <row r="9" customFormat="false" ht="18" hidden="false" customHeight="true" outlineLevel="0" collapsed="false">
      <c r="A9" s="23" t="s">
        <v>181</v>
      </c>
      <c r="B9" s="7"/>
      <c r="C9" s="7" t="n">
        <v>181</v>
      </c>
      <c r="D9" s="7" t="n">
        <v>188</v>
      </c>
      <c r="E9" s="19" t="n">
        <v>191</v>
      </c>
      <c r="F9" s="19" t="n">
        <v>185</v>
      </c>
      <c r="G9" s="19" t="n">
        <v>177</v>
      </c>
      <c r="H9" s="17" t="n">
        <f aca="false">IFERROR(AVERAGEIF(B9:D9,"&lt;&gt;"),"")</f>
        <v>184.5</v>
      </c>
      <c r="I9" s="17" t="n">
        <f aca="false">IFERROR(AVERAGEIF(E9:G9,"&lt;&gt;구조적결측"),"")</f>
        <v>184.333333333333</v>
      </c>
      <c r="J9" s="18" t="n">
        <f aca="false">IFERROR(AVERAGEIF(B9:G9,"&lt;&gt;구조적결측"),"")</f>
        <v>184.4</v>
      </c>
    </row>
    <row r="10" customFormat="false" ht="18" hidden="false" customHeight="true" outlineLevel="0" collapsed="false">
      <c r="A10" s="24" t="s">
        <v>182</v>
      </c>
      <c r="B10" s="5" t="n">
        <v>63</v>
      </c>
      <c r="C10" s="5" t="n">
        <v>57</v>
      </c>
      <c r="D10" s="5" t="n">
        <v>53</v>
      </c>
      <c r="E10" s="16" t="n">
        <v>64</v>
      </c>
      <c r="F10" s="19" t="n">
        <v>32</v>
      </c>
      <c r="G10" s="7"/>
      <c r="H10" s="17" t="n">
        <f aca="false">IFERROR(AVERAGEIF(B10:D10,"&lt;&gt;"),"")</f>
        <v>57.6666666666667</v>
      </c>
      <c r="I10" s="17" t="n">
        <f aca="false">IFERROR(AVERAGEIF(E10:G10,"&lt;&gt;구조적결측"),"")</f>
        <v>48</v>
      </c>
      <c r="J10" s="18" t="n">
        <f aca="false">IFERROR(AVERAGEIF(B10:G10,"&lt;&gt;구조적결측"),"")</f>
        <v>53.8</v>
      </c>
    </row>
    <row r="11" customFormat="false" ht="18" hidden="false" customHeight="true" outlineLevel="0" collapsed="false">
      <c r="A11" s="24" t="s">
        <v>183</v>
      </c>
      <c r="B11" s="7" t="n">
        <v>50</v>
      </c>
      <c r="C11" s="7" t="n">
        <v>49</v>
      </c>
      <c r="D11" s="7" t="n">
        <v>51</v>
      </c>
      <c r="E11" s="19" t="n">
        <v>51</v>
      </c>
      <c r="F11" s="16" t="n">
        <v>55</v>
      </c>
      <c r="G11" s="16" t="n">
        <v>41</v>
      </c>
      <c r="H11" s="17" t="n">
        <f aca="false">IFERROR(AVERAGEIF(B11:D11,"&lt;&gt;"),"")</f>
        <v>50</v>
      </c>
      <c r="I11" s="17" t="n">
        <f aca="false">IFERROR(AVERAGEIF(E11:G11,"&lt;&gt;구조적결측"),"")</f>
        <v>49</v>
      </c>
      <c r="J11" s="18" t="n">
        <f aca="false">IFERROR(AVERAGEIF(B11:G11,"&lt;&gt;구조적결측"),"")</f>
        <v>49.5</v>
      </c>
    </row>
    <row r="12" customFormat="false" ht="18" hidden="false" customHeight="true" outlineLevel="0" collapsed="false">
      <c r="A12" s="23" t="s">
        <v>184</v>
      </c>
      <c r="B12" s="5" t="n">
        <v>45</v>
      </c>
      <c r="C12" s="5" t="n">
        <v>41</v>
      </c>
      <c r="D12" s="5" t="n">
        <v>49</v>
      </c>
      <c r="E12" s="16" t="n">
        <v>52</v>
      </c>
      <c r="F12" s="16" t="n">
        <v>39</v>
      </c>
      <c r="G12" s="16" t="n">
        <v>45</v>
      </c>
      <c r="H12" s="17" t="n">
        <f aca="false">IFERROR(AVERAGEIF(B12:D12,"&lt;&gt;"),"")</f>
        <v>45</v>
      </c>
      <c r="I12" s="17" t="n">
        <f aca="false">IFERROR(AVERAGEIF(E12:G12,"&lt;&gt;구조적결측"),"")</f>
        <v>45.3333333333333</v>
      </c>
      <c r="J12" s="18" t="n">
        <f aca="false">IFERROR(AVERAGEIF(B12:G12,"&lt;&gt;구조적결측"),"")</f>
        <v>45.1666666666667</v>
      </c>
    </row>
    <row r="13" customFormat="false" ht="18" hidden="false" customHeight="true" outlineLevel="0" collapsed="false">
      <c r="A13" s="23" t="s">
        <v>185</v>
      </c>
      <c r="B13" s="7" t="n">
        <v>86</v>
      </c>
      <c r="C13" s="7" t="n">
        <v>81</v>
      </c>
      <c r="D13" s="7" t="n">
        <v>74</v>
      </c>
      <c r="E13" s="19" t="n">
        <v>83</v>
      </c>
      <c r="F13" s="19" t="n">
        <v>74</v>
      </c>
      <c r="G13" s="19" t="n">
        <v>74</v>
      </c>
      <c r="H13" s="17" t="n">
        <f aca="false">IFERROR(AVERAGEIF(B13:D13,"&lt;&gt;"),"")</f>
        <v>80.3333333333333</v>
      </c>
      <c r="I13" s="17" t="n">
        <f aca="false">IFERROR(AVERAGEIF(E13:G13,"&lt;&gt;구조적결측"),"")</f>
        <v>77</v>
      </c>
      <c r="J13" s="18" t="n">
        <f aca="false">IFERROR(AVERAGEIF(B13:G13,"&lt;&gt;구조적결측"),"")</f>
        <v>78.6666666666667</v>
      </c>
    </row>
    <row r="14" customFormat="false" ht="18" hidden="false" customHeight="true" outlineLevel="0" collapsed="false">
      <c r="A14" s="23" t="s">
        <v>186</v>
      </c>
      <c r="B14" s="5" t="n">
        <v>97</v>
      </c>
      <c r="C14" s="5" t="n">
        <v>85</v>
      </c>
      <c r="D14" s="5" t="n">
        <v>90</v>
      </c>
      <c r="E14" s="16" t="n">
        <v>100</v>
      </c>
      <c r="F14" s="16" t="n">
        <v>85</v>
      </c>
      <c r="G14" s="16" t="n">
        <v>93</v>
      </c>
      <c r="H14" s="17" t="n">
        <f aca="false">IFERROR(AVERAGEIF(B14:D14,"&lt;&gt;"),"")</f>
        <v>90.6666666666667</v>
      </c>
      <c r="I14" s="17" t="n">
        <f aca="false">IFERROR(AVERAGEIF(E14:G14,"&lt;&gt;구조적결측"),"")</f>
        <v>92.6666666666667</v>
      </c>
      <c r="J14" s="18" t="n">
        <f aca="false">IFERROR(AVERAGEIF(B14:G14,"&lt;&gt;구조적결측"),"")</f>
        <v>91.6666666666667</v>
      </c>
    </row>
    <row r="15" customFormat="false" ht="18" hidden="false" customHeight="true" outlineLevel="0" collapsed="false">
      <c r="A15" s="23" t="s">
        <v>187</v>
      </c>
      <c r="B15" s="7" t="n">
        <v>45</v>
      </c>
      <c r="C15" s="7" t="n">
        <v>40</v>
      </c>
      <c r="D15" s="7" t="n">
        <v>44</v>
      </c>
      <c r="E15" s="19" t="n">
        <v>47</v>
      </c>
      <c r="F15" s="19" t="n">
        <v>43</v>
      </c>
      <c r="G15" s="19" t="n">
        <v>40</v>
      </c>
      <c r="H15" s="17" t="n">
        <f aca="false">IFERROR(AVERAGEIF(B15:D15,"&lt;&gt;"),"")</f>
        <v>43</v>
      </c>
      <c r="I15" s="17" t="n">
        <f aca="false">IFERROR(AVERAGEIF(E15:G15,"&lt;&gt;구조적결측"),"")</f>
        <v>43.3333333333333</v>
      </c>
      <c r="J15" s="18" t="n">
        <f aca="false">IFERROR(AVERAGEIF(B15:G15,"&lt;&gt;구조적결측"),"")</f>
        <v>43.1666666666667</v>
      </c>
    </row>
    <row r="16" customFormat="false" ht="18" hidden="false" customHeight="true" outlineLevel="0" collapsed="false">
      <c r="A16" s="23" t="s">
        <v>188</v>
      </c>
      <c r="B16" s="5" t="n">
        <v>41</v>
      </c>
      <c r="C16" s="5" t="n">
        <v>37</v>
      </c>
      <c r="D16" s="5" t="n">
        <v>42</v>
      </c>
      <c r="E16" s="16" t="n">
        <v>49</v>
      </c>
      <c r="F16" s="16" t="n">
        <v>45</v>
      </c>
      <c r="G16" s="16" t="n">
        <v>37</v>
      </c>
      <c r="H16" s="17" t="n">
        <f aca="false">IFERROR(AVERAGEIF(B16:D16,"&lt;&gt;"),"")</f>
        <v>40</v>
      </c>
      <c r="I16" s="17" t="n">
        <f aca="false">IFERROR(AVERAGEIF(E16:G16,"&lt;&gt;구조적결측"),"")</f>
        <v>43.6666666666667</v>
      </c>
      <c r="J16" s="18" t="n">
        <f aca="false">IFERROR(AVERAGEIF(B16:G16,"&lt;&gt;구조적결측"),"")</f>
        <v>41.8333333333333</v>
      </c>
    </row>
    <row r="17" customFormat="false" ht="18" hidden="false" customHeight="true" outlineLevel="0" collapsed="false">
      <c r="A17" s="23" t="s">
        <v>80</v>
      </c>
      <c r="B17" s="7" t="n">
        <v>74</v>
      </c>
      <c r="C17" s="7" t="n">
        <v>575</v>
      </c>
      <c r="D17" s="7"/>
      <c r="E17" s="16" t="n">
        <v>72</v>
      </c>
      <c r="F17" s="16" t="n">
        <v>64</v>
      </c>
      <c r="G17" s="16" t="n">
        <v>75</v>
      </c>
      <c r="H17" s="17" t="n">
        <f aca="false">IFERROR(AVERAGEIF(B17:D17,"&lt;&gt;"),"")</f>
        <v>324.5</v>
      </c>
      <c r="I17" s="17" t="n">
        <f aca="false">IFERROR(AVERAGEIF(E17:G17,"&lt;&gt;구조적결측"),"")</f>
        <v>70.3333333333333</v>
      </c>
      <c r="J17" s="18" t="n">
        <f aca="false">IFERROR(AVERAGEIF(B17:G17,"&lt;&gt;구조적결측"),"")</f>
        <v>172</v>
      </c>
    </row>
    <row r="18" customFormat="false" ht="19.5" hidden="false" customHeight="true" outlineLevel="0" collapsed="false">
      <c r="A18" s="22" t="s">
        <v>174</v>
      </c>
      <c r="B18" s="17" t="n">
        <f aca="false">IFERROR(AVERAGEIF(B4:B17,"&lt;&gt;구조적결측"),"")</f>
        <v>60</v>
      </c>
      <c r="C18" s="17" t="n">
        <f aca="false">IFERROR(AVERAGEIF(C4:C17,"&lt;&gt;구조적결측"),"")</f>
        <v>100.714285714286</v>
      </c>
      <c r="D18" s="17" t="n">
        <f aca="false">IFERROR(AVERAGEIF(D4:D17,"&lt;&gt;구조적결측"),"")</f>
        <v>64.8461538461538</v>
      </c>
      <c r="E18" s="17" t="n">
        <f aca="false">IFERROR(AVERAGEIF(E4:E17,"&lt;&gt;구조적결측"),"")</f>
        <v>69.4615384615385</v>
      </c>
      <c r="F18" s="17" t="n">
        <f aca="false">IFERROR(AVERAGEIF(F4:F17,"&lt;&gt;구조적결측"),"")</f>
        <v>63.0714285714286</v>
      </c>
      <c r="G18" s="17" t="n">
        <f aca="false">IFERROR(AVERAGEIF(G4:G17,"&lt;&gt;구조적결측"),"")</f>
        <v>65.0769230769231</v>
      </c>
      <c r="H18" s="17" t="n">
        <f aca="false">IFERROR(AVERAGEIF(H4:H17,"&lt;&gt;구조적결측"),"")</f>
        <v>83.8571428571429</v>
      </c>
      <c r="I18" s="17" t="n">
        <f aca="false">IFERROR(AVERAGEIF(I4:I17,"&lt;&gt;구조적결측"),"")</f>
        <v>65.5595238095238</v>
      </c>
      <c r="J18" s="18" t="n">
        <f aca="false">IFERROR(AVERAGEIF(J4:J17,"&lt;&gt;구조적결측"),"")</f>
        <v>72.9166666666667</v>
      </c>
    </row>
  </sheetData>
  <mergeCells count="7">
    <mergeCell ref="A1:J1"/>
    <mergeCell ref="A2:A3"/>
    <mergeCell ref="B2:D2"/>
    <mergeCell ref="E2:G2"/>
    <mergeCell ref="H2:H3"/>
    <mergeCell ref="I2:I3"/>
    <mergeCell ref="J2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8" min="6" style="1" width="10"/>
    <col collapsed="false" customWidth="true" hidden="false" outlineLevel="0" max="9" min="9" style="1" width="12"/>
    <col collapsed="false" customWidth="true" hidden="false" outlineLevel="0" max="10" min="10" style="1" width="30"/>
  </cols>
  <sheetData>
    <row r="1" customFormat="false" ht="27.75" hidden="false" customHeight="true" outlineLevel="0" collapsed="false">
      <c r="A1" s="25" t="s">
        <v>189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5.75" hidden="false" customHeight="true" outlineLevel="0" collapsed="false">
      <c r="A2" s="26" t="s">
        <v>190</v>
      </c>
      <c r="B2" s="26"/>
      <c r="C2" s="26"/>
      <c r="D2" s="26"/>
      <c r="E2" s="26"/>
      <c r="F2" s="26"/>
      <c r="G2" s="26"/>
      <c r="H2" s="26"/>
      <c r="I2" s="26"/>
      <c r="J2" s="26"/>
    </row>
    <row r="3" customFormat="false" ht="21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</row>
    <row r="4" customFormat="false" ht="18" hidden="false" customHeight="true" outlineLevel="0" collapsed="false">
      <c r="A4" s="5" t="s">
        <v>12</v>
      </c>
      <c r="B4" s="6" t="s">
        <v>191</v>
      </c>
      <c r="C4" s="5" t="s">
        <v>192</v>
      </c>
      <c r="D4" s="5" t="s">
        <v>14</v>
      </c>
      <c r="E4" s="6" t="s">
        <v>28</v>
      </c>
      <c r="F4" s="5" t="s">
        <v>193</v>
      </c>
      <c r="G4" s="5" t="s">
        <v>194</v>
      </c>
      <c r="H4" s="21" t="s">
        <v>173</v>
      </c>
      <c r="I4" s="21" t="s">
        <v>173</v>
      </c>
      <c r="J4" s="5"/>
    </row>
    <row r="5" customFormat="false" ht="18" hidden="false" customHeight="true" outlineLevel="0" collapsed="false">
      <c r="A5" s="7" t="s">
        <v>12</v>
      </c>
      <c r="B5" s="8" t="s">
        <v>191</v>
      </c>
      <c r="C5" s="7" t="s">
        <v>192</v>
      </c>
      <c r="D5" s="7" t="s">
        <v>18</v>
      </c>
      <c r="E5" s="7" t="s">
        <v>33</v>
      </c>
      <c r="F5" s="7" t="s">
        <v>195</v>
      </c>
      <c r="G5" s="7" t="s">
        <v>196</v>
      </c>
      <c r="H5" s="7" t="n">
        <v>11</v>
      </c>
      <c r="I5" s="7" t="n">
        <v>58</v>
      </c>
      <c r="J5" s="7"/>
    </row>
    <row r="6" customFormat="false" ht="18" hidden="false" customHeight="true" outlineLevel="0" collapsed="false">
      <c r="A6" s="5" t="s">
        <v>12</v>
      </c>
      <c r="B6" s="6" t="s">
        <v>191</v>
      </c>
      <c r="C6" s="5" t="s">
        <v>192</v>
      </c>
      <c r="D6" s="5" t="s">
        <v>23</v>
      </c>
      <c r="E6" s="6" t="s">
        <v>38</v>
      </c>
      <c r="F6" s="5" t="s">
        <v>197</v>
      </c>
      <c r="G6" s="5" t="s">
        <v>198</v>
      </c>
      <c r="H6" s="5" t="n">
        <v>1</v>
      </c>
      <c r="I6" s="5" t="n">
        <v>19</v>
      </c>
      <c r="J6" s="5"/>
    </row>
    <row r="7" customFormat="false" ht="18" hidden="false" customHeight="true" outlineLevel="0" collapsed="false">
      <c r="A7" s="7" t="s">
        <v>12</v>
      </c>
      <c r="B7" s="8" t="s">
        <v>191</v>
      </c>
      <c r="C7" s="7" t="s">
        <v>192</v>
      </c>
      <c r="D7" s="7" t="s">
        <v>27</v>
      </c>
      <c r="E7" s="7" t="s">
        <v>41</v>
      </c>
      <c r="F7" s="7" t="s">
        <v>199</v>
      </c>
      <c r="G7" s="7" t="s">
        <v>200</v>
      </c>
      <c r="H7" s="7" t="n">
        <v>62</v>
      </c>
      <c r="I7" s="7" t="n">
        <v>191</v>
      </c>
      <c r="J7" s="7"/>
    </row>
    <row r="8" customFormat="false" ht="18" hidden="false" customHeight="true" outlineLevel="0" collapsed="false">
      <c r="A8" s="5" t="s">
        <v>12</v>
      </c>
      <c r="B8" s="6" t="s">
        <v>191</v>
      </c>
      <c r="C8" s="5" t="s">
        <v>192</v>
      </c>
      <c r="D8" s="5" t="s">
        <v>32</v>
      </c>
      <c r="E8" s="5" t="s">
        <v>46</v>
      </c>
      <c r="F8" s="5" t="s">
        <v>201</v>
      </c>
      <c r="G8" s="5" t="s">
        <v>202</v>
      </c>
      <c r="H8" s="5" t="n">
        <v>9</v>
      </c>
      <c r="I8" s="5" t="n">
        <v>64</v>
      </c>
      <c r="J8" s="5"/>
    </row>
    <row r="9" customFormat="false" ht="18" hidden="false" customHeight="true" outlineLevel="0" collapsed="false">
      <c r="A9" s="7" t="s">
        <v>12</v>
      </c>
      <c r="B9" s="8" t="s">
        <v>191</v>
      </c>
      <c r="C9" s="7" t="s">
        <v>192</v>
      </c>
      <c r="D9" s="7" t="s">
        <v>37</v>
      </c>
      <c r="E9" s="8" t="s">
        <v>50</v>
      </c>
      <c r="F9" s="7" t="s">
        <v>203</v>
      </c>
      <c r="G9" s="7" t="s">
        <v>204</v>
      </c>
      <c r="H9" s="7" t="n">
        <v>9</v>
      </c>
      <c r="I9" s="7" t="n">
        <v>51</v>
      </c>
      <c r="J9" s="7"/>
    </row>
    <row r="10" customFormat="false" ht="18" hidden="false" customHeight="true" outlineLevel="0" collapsed="false">
      <c r="A10" s="5" t="s">
        <v>12</v>
      </c>
      <c r="B10" s="6" t="s">
        <v>191</v>
      </c>
      <c r="C10" s="5" t="s">
        <v>192</v>
      </c>
      <c r="D10" s="5" t="s">
        <v>40</v>
      </c>
      <c r="E10" s="6" t="s">
        <v>55</v>
      </c>
      <c r="F10" s="5" t="s">
        <v>205</v>
      </c>
      <c r="G10" s="5" t="s">
        <v>206</v>
      </c>
      <c r="H10" s="5" t="n">
        <v>5</v>
      </c>
      <c r="I10" s="5" t="n">
        <v>52</v>
      </c>
      <c r="J10" s="5"/>
    </row>
    <row r="11" customFormat="false" ht="18" hidden="false" customHeight="true" outlineLevel="0" collapsed="false">
      <c r="A11" s="7" t="s">
        <v>12</v>
      </c>
      <c r="B11" s="8" t="s">
        <v>191</v>
      </c>
      <c r="C11" s="7" t="s">
        <v>192</v>
      </c>
      <c r="D11" s="7" t="s">
        <v>45</v>
      </c>
      <c r="E11" s="8" t="s">
        <v>59</v>
      </c>
      <c r="F11" s="7" t="s">
        <v>207</v>
      </c>
      <c r="G11" s="7" t="s">
        <v>208</v>
      </c>
      <c r="H11" s="7" t="n">
        <v>27</v>
      </c>
      <c r="I11" s="7" t="n">
        <v>83</v>
      </c>
      <c r="J11" s="7"/>
    </row>
    <row r="12" customFormat="false" ht="18" hidden="false" customHeight="true" outlineLevel="0" collapsed="false">
      <c r="A12" s="5" t="s">
        <v>12</v>
      </c>
      <c r="B12" s="6" t="s">
        <v>191</v>
      </c>
      <c r="C12" s="5" t="s">
        <v>192</v>
      </c>
      <c r="D12" s="5" t="s">
        <v>49</v>
      </c>
      <c r="E12" s="6" t="s">
        <v>64</v>
      </c>
      <c r="F12" s="5" t="s">
        <v>209</v>
      </c>
      <c r="G12" s="5" t="s">
        <v>210</v>
      </c>
      <c r="H12" s="5" t="n">
        <v>8</v>
      </c>
      <c r="I12" s="5" t="n">
        <v>100</v>
      </c>
      <c r="J12" s="5"/>
    </row>
    <row r="13" customFormat="false" ht="18" hidden="false" customHeight="true" outlineLevel="0" collapsed="false">
      <c r="A13" s="7" t="s">
        <v>12</v>
      </c>
      <c r="B13" s="8" t="s">
        <v>191</v>
      </c>
      <c r="C13" s="7" t="s">
        <v>192</v>
      </c>
      <c r="D13" s="7" t="s">
        <v>54</v>
      </c>
      <c r="E13" s="8" t="s">
        <v>69</v>
      </c>
      <c r="F13" s="7" t="s">
        <v>211</v>
      </c>
      <c r="G13" s="7" t="s">
        <v>212</v>
      </c>
      <c r="H13" s="7" t="n">
        <v>11</v>
      </c>
      <c r="I13" s="7" t="n">
        <v>47</v>
      </c>
      <c r="J13" s="7"/>
    </row>
    <row r="14" customFormat="false" ht="18" hidden="false" customHeight="true" outlineLevel="0" collapsed="false">
      <c r="A14" s="5" t="s">
        <v>12</v>
      </c>
      <c r="B14" s="6" t="s">
        <v>191</v>
      </c>
      <c r="C14" s="5" t="s">
        <v>192</v>
      </c>
      <c r="D14" s="5" t="s">
        <v>58</v>
      </c>
      <c r="E14" s="6" t="s">
        <v>74</v>
      </c>
      <c r="F14" s="5" t="s">
        <v>213</v>
      </c>
      <c r="G14" s="5" t="s">
        <v>214</v>
      </c>
      <c r="H14" s="5" t="n">
        <v>9</v>
      </c>
      <c r="I14" s="5" t="n">
        <v>49</v>
      </c>
      <c r="J14" s="5"/>
    </row>
    <row r="15" customFormat="false" ht="18" hidden="false" customHeight="true" outlineLevel="0" collapsed="false">
      <c r="A15" s="7" t="s">
        <v>12</v>
      </c>
      <c r="B15" s="8" t="s">
        <v>191</v>
      </c>
      <c r="C15" s="7" t="s">
        <v>192</v>
      </c>
      <c r="D15" s="7" t="s">
        <v>63</v>
      </c>
      <c r="E15" s="8" t="s">
        <v>15</v>
      </c>
      <c r="F15" s="7" t="s">
        <v>215</v>
      </c>
      <c r="G15" s="7" t="s">
        <v>216</v>
      </c>
      <c r="H15" s="7" t="n">
        <v>24</v>
      </c>
      <c r="I15" s="7" t="n">
        <v>72</v>
      </c>
      <c r="J15" s="7"/>
    </row>
    <row r="16" customFormat="false" ht="18" hidden="false" customHeight="true" outlineLevel="0" collapsed="false">
      <c r="A16" s="5" t="s">
        <v>12</v>
      </c>
      <c r="B16" s="6" t="s">
        <v>191</v>
      </c>
      <c r="C16" s="5" t="s">
        <v>192</v>
      </c>
      <c r="D16" s="5" t="s">
        <v>68</v>
      </c>
      <c r="E16" s="6" t="s">
        <v>19</v>
      </c>
      <c r="F16" s="5" t="s">
        <v>217</v>
      </c>
      <c r="G16" s="5" t="s">
        <v>218</v>
      </c>
      <c r="H16" s="5" t="n">
        <v>9</v>
      </c>
      <c r="I16" s="5" t="n">
        <v>57</v>
      </c>
      <c r="J16" s="5"/>
    </row>
    <row r="17" customFormat="false" ht="18" hidden="false" customHeight="true" outlineLevel="0" collapsed="false">
      <c r="A17" s="7" t="s">
        <v>12</v>
      </c>
      <c r="B17" s="8" t="s">
        <v>191</v>
      </c>
      <c r="C17" s="7" t="s">
        <v>192</v>
      </c>
      <c r="D17" s="7" t="s">
        <v>73</v>
      </c>
      <c r="E17" s="8" t="s">
        <v>24</v>
      </c>
      <c r="F17" s="7" t="s">
        <v>219</v>
      </c>
      <c r="G17" s="7" t="s">
        <v>220</v>
      </c>
      <c r="H17" s="7" t="n">
        <v>15</v>
      </c>
      <c r="I17" s="7" t="n">
        <v>60</v>
      </c>
      <c r="J17" s="7"/>
    </row>
    <row r="18" customFormat="false" ht="18" hidden="false" customHeight="true" outlineLevel="0" collapsed="false">
      <c r="A18" s="5" t="s">
        <v>12</v>
      </c>
      <c r="B18" s="6" t="s">
        <v>191</v>
      </c>
      <c r="C18" s="5" t="s">
        <v>221</v>
      </c>
      <c r="D18" s="5" t="s">
        <v>14</v>
      </c>
      <c r="E18" s="5" t="s">
        <v>46</v>
      </c>
      <c r="F18" s="5"/>
      <c r="G18" s="5" t="s">
        <v>222</v>
      </c>
      <c r="H18" s="21" t="s">
        <v>173</v>
      </c>
      <c r="I18" s="21" t="s">
        <v>173</v>
      </c>
      <c r="J18" s="5"/>
    </row>
    <row r="19" customFormat="false" ht="18" hidden="false" customHeight="true" outlineLevel="0" collapsed="false">
      <c r="A19" s="7" t="s">
        <v>12</v>
      </c>
      <c r="B19" s="8" t="s">
        <v>191</v>
      </c>
      <c r="C19" s="7" t="s">
        <v>221</v>
      </c>
      <c r="D19" s="7" t="s">
        <v>18</v>
      </c>
      <c r="E19" s="8" t="s">
        <v>50</v>
      </c>
      <c r="F19" s="7" t="s">
        <v>223</v>
      </c>
      <c r="G19" s="7" t="s">
        <v>224</v>
      </c>
      <c r="H19" s="7" t="n">
        <v>25</v>
      </c>
      <c r="I19" s="7" t="n">
        <v>55</v>
      </c>
      <c r="J19" s="7"/>
    </row>
    <row r="20" customFormat="false" ht="18" hidden="false" customHeight="true" outlineLevel="0" collapsed="false">
      <c r="A20" s="5" t="s">
        <v>12</v>
      </c>
      <c r="B20" s="6" t="s">
        <v>191</v>
      </c>
      <c r="C20" s="5" t="s">
        <v>221</v>
      </c>
      <c r="D20" s="5" t="s">
        <v>23</v>
      </c>
      <c r="E20" s="6" t="s">
        <v>55</v>
      </c>
      <c r="F20" s="5" t="s">
        <v>225</v>
      </c>
      <c r="G20" s="5" t="s">
        <v>226</v>
      </c>
      <c r="H20" s="5" t="n">
        <v>12</v>
      </c>
      <c r="I20" s="5" t="n">
        <v>39</v>
      </c>
      <c r="J20" s="5"/>
    </row>
    <row r="21" customFormat="false" ht="18" hidden="false" customHeight="true" outlineLevel="0" collapsed="false">
      <c r="A21" s="7" t="s">
        <v>12</v>
      </c>
      <c r="B21" s="8" t="s">
        <v>191</v>
      </c>
      <c r="C21" s="7" t="s">
        <v>221</v>
      </c>
      <c r="D21" s="7" t="s">
        <v>27</v>
      </c>
      <c r="E21" s="8" t="s">
        <v>59</v>
      </c>
      <c r="F21" s="7" t="s">
        <v>227</v>
      </c>
      <c r="G21" s="7" t="s">
        <v>228</v>
      </c>
      <c r="H21" s="7" t="n">
        <v>18</v>
      </c>
      <c r="I21" s="7" t="n">
        <v>74</v>
      </c>
      <c r="J21" s="7"/>
    </row>
    <row r="22" customFormat="false" ht="18" hidden="false" customHeight="true" outlineLevel="0" collapsed="false">
      <c r="A22" s="5" t="s">
        <v>12</v>
      </c>
      <c r="B22" s="6" t="s">
        <v>191</v>
      </c>
      <c r="C22" s="5" t="s">
        <v>221</v>
      </c>
      <c r="D22" s="5" t="s">
        <v>32</v>
      </c>
      <c r="E22" s="6" t="s">
        <v>64</v>
      </c>
      <c r="F22" s="5" t="s">
        <v>229</v>
      </c>
      <c r="G22" s="5" t="s">
        <v>230</v>
      </c>
      <c r="H22" s="5" t="n">
        <v>9</v>
      </c>
      <c r="I22" s="5" t="n">
        <v>85</v>
      </c>
      <c r="J22" s="5"/>
    </row>
    <row r="23" customFormat="false" ht="18" hidden="false" customHeight="true" outlineLevel="0" collapsed="false">
      <c r="A23" s="7" t="s">
        <v>12</v>
      </c>
      <c r="B23" s="8" t="s">
        <v>191</v>
      </c>
      <c r="C23" s="7" t="s">
        <v>221</v>
      </c>
      <c r="D23" s="7" t="s">
        <v>37</v>
      </c>
      <c r="E23" s="8" t="s">
        <v>69</v>
      </c>
      <c r="F23" s="7" t="s">
        <v>231</v>
      </c>
      <c r="G23" s="7" t="s">
        <v>232</v>
      </c>
      <c r="H23" s="7" t="n">
        <v>13</v>
      </c>
      <c r="I23" s="7" t="n">
        <v>43</v>
      </c>
      <c r="J23" s="7"/>
    </row>
    <row r="24" customFormat="false" ht="18" hidden="false" customHeight="true" outlineLevel="0" collapsed="false">
      <c r="A24" s="5" t="s">
        <v>12</v>
      </c>
      <c r="B24" s="6" t="s">
        <v>191</v>
      </c>
      <c r="C24" s="5" t="s">
        <v>221</v>
      </c>
      <c r="D24" s="5" t="s">
        <v>40</v>
      </c>
      <c r="E24" s="6" t="s">
        <v>74</v>
      </c>
      <c r="F24" s="5" t="s">
        <v>233</v>
      </c>
      <c r="G24" s="5" t="s">
        <v>234</v>
      </c>
      <c r="H24" s="5" t="n">
        <v>1</v>
      </c>
      <c r="I24" s="5" t="n">
        <v>45</v>
      </c>
      <c r="J24" s="5"/>
    </row>
    <row r="25" customFormat="false" ht="18" hidden="false" customHeight="true" outlineLevel="0" collapsed="false">
      <c r="A25" s="7" t="s">
        <v>12</v>
      </c>
      <c r="B25" s="8" t="s">
        <v>191</v>
      </c>
      <c r="C25" s="7" t="s">
        <v>221</v>
      </c>
      <c r="D25" s="7" t="s">
        <v>45</v>
      </c>
      <c r="E25" s="8" t="s">
        <v>15</v>
      </c>
      <c r="F25" s="7" t="s">
        <v>235</v>
      </c>
      <c r="G25" s="7" t="s">
        <v>236</v>
      </c>
      <c r="H25" s="7" t="n">
        <v>76</v>
      </c>
      <c r="I25" s="7" t="n">
        <v>64</v>
      </c>
      <c r="J25" s="7"/>
    </row>
    <row r="26" customFormat="false" ht="18" hidden="false" customHeight="true" outlineLevel="0" collapsed="false">
      <c r="A26" s="5" t="s">
        <v>12</v>
      </c>
      <c r="B26" s="6" t="s">
        <v>191</v>
      </c>
      <c r="C26" s="5" t="s">
        <v>221</v>
      </c>
      <c r="D26" s="5" t="s">
        <v>49</v>
      </c>
      <c r="E26" s="6" t="s">
        <v>19</v>
      </c>
      <c r="F26" s="5" t="s">
        <v>237</v>
      </c>
      <c r="G26" s="5" t="s">
        <v>238</v>
      </c>
      <c r="H26" s="5" t="n">
        <v>13</v>
      </c>
      <c r="I26" s="5" t="n">
        <v>56</v>
      </c>
      <c r="J26" s="5"/>
    </row>
    <row r="27" customFormat="false" ht="18" hidden="false" customHeight="true" outlineLevel="0" collapsed="false">
      <c r="A27" s="7" t="s">
        <v>12</v>
      </c>
      <c r="B27" s="8" t="s">
        <v>191</v>
      </c>
      <c r="C27" s="7" t="s">
        <v>221</v>
      </c>
      <c r="D27" s="7" t="s">
        <v>54</v>
      </c>
      <c r="E27" s="8" t="s">
        <v>24</v>
      </c>
      <c r="F27" s="7" t="s">
        <v>239</v>
      </c>
      <c r="G27" s="7" t="s">
        <v>240</v>
      </c>
      <c r="H27" s="7" t="n">
        <v>23</v>
      </c>
      <c r="I27" s="7" t="n">
        <v>44</v>
      </c>
      <c r="J27" s="7"/>
    </row>
    <row r="28" customFormat="false" ht="18" hidden="false" customHeight="true" outlineLevel="0" collapsed="false">
      <c r="A28" s="5" t="s">
        <v>12</v>
      </c>
      <c r="B28" s="6" t="s">
        <v>191</v>
      </c>
      <c r="C28" s="5" t="s">
        <v>221</v>
      </c>
      <c r="D28" s="5" t="s">
        <v>58</v>
      </c>
      <c r="E28" s="6" t="s">
        <v>28</v>
      </c>
      <c r="F28" s="5" t="s">
        <v>241</v>
      </c>
      <c r="G28" s="5" t="s">
        <v>242</v>
      </c>
      <c r="H28" s="5" t="n">
        <v>21</v>
      </c>
      <c r="I28" s="5" t="n">
        <v>72</v>
      </c>
      <c r="J28" s="5"/>
    </row>
    <row r="29" customFormat="false" ht="18" hidden="false" customHeight="true" outlineLevel="0" collapsed="false">
      <c r="A29" s="7" t="s">
        <v>12</v>
      </c>
      <c r="B29" s="8" t="s">
        <v>191</v>
      </c>
      <c r="C29" s="7" t="s">
        <v>221</v>
      </c>
      <c r="D29" s="7" t="s">
        <v>63</v>
      </c>
      <c r="E29" s="7" t="s">
        <v>33</v>
      </c>
      <c r="F29" s="7" t="s">
        <v>243</v>
      </c>
      <c r="G29" s="7" t="s">
        <v>244</v>
      </c>
      <c r="H29" s="7" t="n">
        <v>18</v>
      </c>
      <c r="I29" s="7" t="n">
        <v>49</v>
      </c>
      <c r="J29" s="7"/>
    </row>
    <row r="30" customFormat="false" ht="18" hidden="false" customHeight="true" outlineLevel="0" collapsed="false">
      <c r="A30" s="5" t="s">
        <v>12</v>
      </c>
      <c r="B30" s="6" t="s">
        <v>191</v>
      </c>
      <c r="C30" s="5" t="s">
        <v>221</v>
      </c>
      <c r="D30" s="5" t="s">
        <v>68</v>
      </c>
      <c r="E30" s="6" t="s">
        <v>38</v>
      </c>
      <c r="F30" s="5" t="s">
        <v>245</v>
      </c>
      <c r="G30" s="5" t="s">
        <v>246</v>
      </c>
      <c r="H30" s="5" t="n">
        <v>1</v>
      </c>
      <c r="I30" s="5" t="n">
        <v>40</v>
      </c>
      <c r="J30" s="5"/>
    </row>
    <row r="31" customFormat="false" ht="18" hidden="false" customHeight="true" outlineLevel="0" collapsed="false">
      <c r="A31" s="7" t="s">
        <v>12</v>
      </c>
      <c r="B31" s="8" t="s">
        <v>191</v>
      </c>
      <c r="C31" s="7" t="s">
        <v>221</v>
      </c>
      <c r="D31" s="7" t="s">
        <v>73</v>
      </c>
      <c r="E31" s="7" t="s">
        <v>41</v>
      </c>
      <c r="F31" s="7" t="s">
        <v>247</v>
      </c>
      <c r="G31" s="7" t="s">
        <v>248</v>
      </c>
      <c r="H31" s="7" t="n">
        <v>53</v>
      </c>
      <c r="I31" s="7" t="n">
        <v>185</v>
      </c>
      <c r="J31" s="7"/>
    </row>
    <row r="32" customFormat="false" ht="18" hidden="false" customHeight="true" outlineLevel="0" collapsed="false">
      <c r="A32" s="5" t="s">
        <v>12</v>
      </c>
      <c r="B32" s="6" t="s">
        <v>191</v>
      </c>
      <c r="C32" s="5" t="s">
        <v>249</v>
      </c>
      <c r="D32" s="5" t="s">
        <v>14</v>
      </c>
      <c r="E32" s="5" t="s">
        <v>46</v>
      </c>
      <c r="F32" s="5" t="s">
        <v>250</v>
      </c>
      <c r="G32" s="5" t="s">
        <v>251</v>
      </c>
      <c r="H32" s="5" t="n">
        <v>13</v>
      </c>
      <c r="I32" s="21" t="s">
        <v>173</v>
      </c>
      <c r="J32" s="5"/>
    </row>
    <row r="33" customFormat="false" ht="18" hidden="false" customHeight="true" outlineLevel="0" collapsed="false">
      <c r="A33" s="7" t="s">
        <v>12</v>
      </c>
      <c r="B33" s="8" t="s">
        <v>191</v>
      </c>
      <c r="C33" s="7" t="s">
        <v>249</v>
      </c>
      <c r="D33" s="7" t="s">
        <v>18</v>
      </c>
      <c r="E33" s="8" t="s">
        <v>50</v>
      </c>
      <c r="F33" s="7" t="s">
        <v>252</v>
      </c>
      <c r="G33" s="7" t="s">
        <v>253</v>
      </c>
      <c r="H33" s="7" t="n">
        <v>13</v>
      </c>
      <c r="I33" s="7" t="n">
        <v>41</v>
      </c>
      <c r="J33" s="7"/>
    </row>
    <row r="34" customFormat="false" ht="18" hidden="false" customHeight="true" outlineLevel="0" collapsed="false">
      <c r="A34" s="5" t="s">
        <v>12</v>
      </c>
      <c r="B34" s="6" t="s">
        <v>191</v>
      </c>
      <c r="C34" s="5" t="s">
        <v>249</v>
      </c>
      <c r="D34" s="5" t="s">
        <v>23</v>
      </c>
      <c r="E34" s="6" t="s">
        <v>55</v>
      </c>
      <c r="F34" s="5" t="s">
        <v>254</v>
      </c>
      <c r="G34" s="5" t="s">
        <v>255</v>
      </c>
      <c r="H34" s="5" t="n">
        <v>9</v>
      </c>
      <c r="I34" s="5" t="n">
        <v>45</v>
      </c>
      <c r="J34" s="5"/>
    </row>
    <row r="35" customFormat="false" ht="18" hidden="false" customHeight="true" outlineLevel="0" collapsed="false">
      <c r="A35" s="7" t="s">
        <v>12</v>
      </c>
      <c r="B35" s="8" t="s">
        <v>191</v>
      </c>
      <c r="C35" s="7" t="s">
        <v>249</v>
      </c>
      <c r="D35" s="7" t="s">
        <v>27</v>
      </c>
      <c r="E35" s="8" t="s">
        <v>59</v>
      </c>
      <c r="F35" s="7" t="s">
        <v>256</v>
      </c>
      <c r="G35" s="7" t="s">
        <v>257</v>
      </c>
      <c r="H35" s="7" t="n">
        <v>23</v>
      </c>
      <c r="I35" s="7" t="n">
        <v>74</v>
      </c>
      <c r="J35" s="7"/>
    </row>
    <row r="36" customFormat="false" ht="18" hidden="false" customHeight="true" outlineLevel="0" collapsed="false">
      <c r="A36" s="5" t="s">
        <v>12</v>
      </c>
      <c r="B36" s="6" t="s">
        <v>191</v>
      </c>
      <c r="C36" s="5" t="s">
        <v>249</v>
      </c>
      <c r="D36" s="5" t="s">
        <v>32</v>
      </c>
      <c r="E36" s="6" t="s">
        <v>64</v>
      </c>
      <c r="F36" s="5" t="s">
        <v>258</v>
      </c>
      <c r="G36" s="5" t="s">
        <v>259</v>
      </c>
      <c r="H36" s="5" t="n">
        <v>3</v>
      </c>
      <c r="I36" s="5" t="n">
        <v>93</v>
      </c>
      <c r="J36" s="5"/>
    </row>
    <row r="37" customFormat="false" ht="18" hidden="false" customHeight="true" outlineLevel="0" collapsed="false">
      <c r="A37" s="7" t="s">
        <v>12</v>
      </c>
      <c r="B37" s="8" t="s">
        <v>191</v>
      </c>
      <c r="C37" s="7" t="s">
        <v>249</v>
      </c>
      <c r="D37" s="7" t="s">
        <v>37</v>
      </c>
      <c r="E37" s="8" t="s">
        <v>69</v>
      </c>
      <c r="F37" s="7" t="s">
        <v>260</v>
      </c>
      <c r="G37" s="7" t="s">
        <v>261</v>
      </c>
      <c r="H37" s="7" t="n">
        <v>16</v>
      </c>
      <c r="I37" s="7" t="n">
        <v>40</v>
      </c>
      <c r="J37" s="7"/>
    </row>
    <row r="38" customFormat="false" ht="18" hidden="false" customHeight="true" outlineLevel="0" collapsed="false">
      <c r="A38" s="5" t="s">
        <v>12</v>
      </c>
      <c r="B38" s="6" t="s">
        <v>191</v>
      </c>
      <c r="C38" s="5" t="s">
        <v>249</v>
      </c>
      <c r="D38" s="5" t="s">
        <v>40</v>
      </c>
      <c r="E38" s="6" t="s">
        <v>74</v>
      </c>
      <c r="F38" s="5" t="s">
        <v>262</v>
      </c>
      <c r="G38" s="5" t="s">
        <v>263</v>
      </c>
      <c r="H38" s="5" t="n">
        <v>14</v>
      </c>
      <c r="I38" s="5" t="n">
        <v>37</v>
      </c>
      <c r="J38" s="5"/>
    </row>
    <row r="39" customFormat="false" ht="18" hidden="false" customHeight="true" outlineLevel="0" collapsed="false">
      <c r="A39" s="7" t="s">
        <v>12</v>
      </c>
      <c r="B39" s="8" t="s">
        <v>191</v>
      </c>
      <c r="C39" s="7" t="s">
        <v>249</v>
      </c>
      <c r="D39" s="7" t="s">
        <v>45</v>
      </c>
      <c r="E39" s="8" t="s">
        <v>15</v>
      </c>
      <c r="F39" s="7" t="s">
        <v>264</v>
      </c>
      <c r="G39" s="7" t="s">
        <v>265</v>
      </c>
      <c r="H39" s="7" t="n">
        <v>37</v>
      </c>
      <c r="I39" s="7" t="n">
        <v>75</v>
      </c>
      <c r="J39" s="7"/>
    </row>
    <row r="40" customFormat="false" ht="18" hidden="false" customHeight="true" outlineLevel="0" collapsed="false">
      <c r="A40" s="5" t="s">
        <v>12</v>
      </c>
      <c r="B40" s="6" t="s">
        <v>191</v>
      </c>
      <c r="C40" s="5" t="s">
        <v>249</v>
      </c>
      <c r="D40" s="5" t="s">
        <v>49</v>
      </c>
      <c r="E40" s="6" t="s">
        <v>19</v>
      </c>
      <c r="F40" s="5" t="s">
        <v>266</v>
      </c>
      <c r="G40" s="5" t="s">
        <v>267</v>
      </c>
      <c r="H40" s="5" t="n">
        <v>11</v>
      </c>
      <c r="I40" s="5" t="n">
        <v>53</v>
      </c>
      <c r="J40" s="5"/>
    </row>
    <row r="41" customFormat="false" ht="18" hidden="false" customHeight="true" outlineLevel="0" collapsed="false">
      <c r="A41" s="7" t="s">
        <v>12</v>
      </c>
      <c r="B41" s="8" t="s">
        <v>191</v>
      </c>
      <c r="C41" s="7" t="s">
        <v>249</v>
      </c>
      <c r="D41" s="7" t="s">
        <v>54</v>
      </c>
      <c r="E41" s="8" t="s">
        <v>24</v>
      </c>
      <c r="F41" s="7" t="s">
        <v>268</v>
      </c>
      <c r="G41" s="7" t="s">
        <v>269</v>
      </c>
      <c r="H41" s="7" t="n">
        <v>22</v>
      </c>
      <c r="I41" s="7" t="n">
        <v>46</v>
      </c>
      <c r="J41" s="7"/>
    </row>
    <row r="42" customFormat="false" ht="18" hidden="false" customHeight="true" outlineLevel="0" collapsed="false">
      <c r="A42" s="5" t="s">
        <v>12</v>
      </c>
      <c r="B42" s="6" t="s">
        <v>191</v>
      </c>
      <c r="C42" s="5" t="s">
        <v>249</v>
      </c>
      <c r="D42" s="5" t="s">
        <v>58</v>
      </c>
      <c r="E42" s="6" t="s">
        <v>28</v>
      </c>
      <c r="F42" s="5" t="s">
        <v>270</v>
      </c>
      <c r="G42" s="5" t="s">
        <v>271</v>
      </c>
      <c r="H42" s="5" t="n">
        <v>18</v>
      </c>
      <c r="I42" s="5" t="n">
        <v>75</v>
      </c>
      <c r="J42" s="5"/>
    </row>
    <row r="43" customFormat="false" ht="18" hidden="false" customHeight="true" outlineLevel="0" collapsed="false">
      <c r="A43" s="7" t="s">
        <v>12</v>
      </c>
      <c r="B43" s="8" t="s">
        <v>191</v>
      </c>
      <c r="C43" s="7" t="s">
        <v>249</v>
      </c>
      <c r="D43" s="7" t="s">
        <v>63</v>
      </c>
      <c r="E43" s="7" t="s">
        <v>33</v>
      </c>
      <c r="F43" s="7" t="s">
        <v>272</v>
      </c>
      <c r="G43" s="7" t="s">
        <v>273</v>
      </c>
      <c r="H43" s="7" t="n">
        <v>15</v>
      </c>
      <c r="I43" s="7" t="n">
        <v>42</v>
      </c>
      <c r="J43" s="7"/>
    </row>
    <row r="44" customFormat="false" ht="18" hidden="false" customHeight="true" outlineLevel="0" collapsed="false">
      <c r="A44" s="5" t="s">
        <v>12</v>
      </c>
      <c r="B44" s="6" t="s">
        <v>191</v>
      </c>
      <c r="C44" s="5" t="s">
        <v>249</v>
      </c>
      <c r="D44" s="5" t="s">
        <v>68</v>
      </c>
      <c r="E44" s="6" t="s">
        <v>38</v>
      </c>
      <c r="F44" s="5" t="s">
        <v>274</v>
      </c>
      <c r="G44" s="5" t="s">
        <v>275</v>
      </c>
      <c r="H44" s="5" t="n">
        <v>2</v>
      </c>
      <c r="I44" s="5" t="n">
        <v>48</v>
      </c>
      <c r="J44" s="5"/>
    </row>
    <row r="45" customFormat="false" ht="18" hidden="false" customHeight="true" outlineLevel="0" collapsed="false">
      <c r="A45" s="7" t="s">
        <v>12</v>
      </c>
      <c r="B45" s="8" t="s">
        <v>191</v>
      </c>
      <c r="C45" s="7" t="s">
        <v>249</v>
      </c>
      <c r="D45" s="7" t="s">
        <v>73</v>
      </c>
      <c r="E45" s="7" t="s">
        <v>41</v>
      </c>
      <c r="F45" s="7" t="s">
        <v>276</v>
      </c>
      <c r="G45" s="7" t="s">
        <v>277</v>
      </c>
      <c r="H45" s="7" t="n">
        <v>57</v>
      </c>
      <c r="I45" s="7" t="n">
        <v>177</v>
      </c>
      <c r="J45" s="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2026-06-08T09:12:37Z</dcterms:created>
  <dc:creator>openpyxl</dc:creator>
  <dc:description/>
  <dc:language>en-US</dc:language>
  <cp:lastModifiedBy/>
  <dcterms:modified xsi:type="dcterms:W3CDTF">2026-06-08T11:35:34Z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